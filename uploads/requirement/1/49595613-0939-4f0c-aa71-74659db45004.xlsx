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5"/>
    <sheet state="visible" name="개정이력" sheetId="2" r:id="rId6"/>
    <sheet state="visible" name="월간투입인력현황표" sheetId="3" r:id="rId7"/>
    <sheet state="visible" name="진척율보고서" sheetId="4" r:id="rId8"/>
    <sheet state="visible" name="1.사업관리" sheetId="5" r:id="rId9"/>
    <sheet state="visible" name="2.챗봇" sheetId="6" r:id="rId10"/>
    <sheet state="visible" name="3.티켓관리" sheetId="7" r:id="rId11"/>
    <sheet state="visible" name="4.기능개선" sheetId="8" r:id="rId12"/>
    <sheet state="visible" name="5.SLA협약" sheetId="9" r:id="rId13"/>
    <sheet state="visible" name="(중요) 업무요청시트(260223)" sheetId="10" r:id="rId14"/>
    <sheet state="visible" name="(TODO) 서비스데스크 업무 관리" sheetId="11" r:id="rId15"/>
  </sheets>
  <definedNames/>
  <calcPr/>
</workbook>
</file>

<file path=xl/sharedStrings.xml><?xml version="1.0" encoding="utf-8"?>
<sst xmlns="http://schemas.openxmlformats.org/spreadsheetml/2006/main" count="1280" uniqueCount="568">
  <si>
    <t>문서보안</t>
  </si>
  <si>
    <r>
      <rPr>
        <rFont val="Malgun Gothic"/>
        <b/>
        <color rgb="FFD9D9D9"/>
        <sz val="11.0"/>
      </rPr>
      <t xml:space="preserve">일반문서 / </t>
    </r>
    <r>
      <rPr>
        <rFont val="Arial"/>
        <b/>
        <color rgb="FFFF0000"/>
        <sz val="11.0"/>
      </rPr>
      <t>대외비</t>
    </r>
  </si>
  <si>
    <t>프로젝트 일정계획표 (WBS)</t>
  </si>
  <si>
    <t>판로플랫폼 고도화 및 유지관리</t>
  </si>
  <si>
    <t>기업 로고 추가</t>
  </si>
  <si>
    <t>Copyright © 2026 by 한국사회적기업진흥원
한국사회적기업진흥원의 사전 승인 없이 본 내용의 전부 또는 일부에 대한 복사, 전재, 배포, 사용을 금합니다.</t>
  </si>
  <si>
    <t>개정이력</t>
  </si>
  <si>
    <t>버전</t>
  </si>
  <si>
    <t>날짜</t>
  </si>
  <si>
    <t>개정내용</t>
  </si>
  <si>
    <t>작성자</t>
  </si>
  <si>
    <t>승인자</t>
  </si>
  <si>
    <t>26.1.26</t>
  </si>
  <si>
    <t>최초 작성</t>
  </si>
  <si>
    <t>장일훈</t>
  </si>
  <si>
    <t>판로플랫폼 고도화 및 유지관리 - 월별 인력투입현황</t>
  </si>
  <si>
    <r>
      <rPr>
        <rFont val="Calibri"/>
        <b/>
        <color rgb="FF404040"/>
        <sz val="10.0"/>
      </rPr>
      <t>기술자명</t>
    </r>
  </si>
  <si>
    <r>
      <rPr>
        <rFont val="Calibri"/>
        <b/>
        <color theme="1"/>
        <sz val="10.0"/>
      </rPr>
      <t>업무</t>
    </r>
  </si>
  <si>
    <r>
      <rPr>
        <rFont val="Calibri"/>
        <b/>
        <color rgb="FF404040"/>
        <sz val="10.0"/>
      </rPr>
      <t>기술등급</t>
    </r>
  </si>
  <si>
    <r>
      <rPr>
        <rFont val="Calibri"/>
        <b/>
        <color theme="1"/>
        <sz val="10.0"/>
      </rPr>
      <t>회사</t>
    </r>
  </si>
  <si>
    <r>
      <rPr>
        <rFont val="Calibri"/>
        <b/>
        <color rgb="FF404040"/>
        <sz val="10.0"/>
      </rPr>
      <t xml:space="preserve">투입공수
</t>
    </r>
    <r>
      <rPr>
        <rFont val="Calibri"/>
        <b/>
        <color rgb="FF404040"/>
        <sz val="10.0"/>
      </rPr>
      <t>(</t>
    </r>
    <r>
      <rPr>
        <rFont val="Calibri"/>
        <b/>
        <color rgb="FF404040"/>
        <sz val="10.0"/>
      </rPr>
      <t>목표</t>
    </r>
    <r>
      <rPr>
        <rFont val="Calibri"/>
        <b/>
        <color rgb="FF404040"/>
        <sz val="10.0"/>
      </rPr>
      <t>)</t>
    </r>
  </si>
  <si>
    <r>
      <rPr>
        <rFont val="Calibri"/>
        <b/>
        <color rgb="FF404040"/>
        <sz val="10.0"/>
      </rPr>
      <t xml:space="preserve">투입공수
</t>
    </r>
    <r>
      <rPr>
        <rFont val="Calibri"/>
        <b/>
        <color rgb="FF404040"/>
        <sz val="10.0"/>
      </rPr>
      <t>(</t>
    </r>
    <r>
      <rPr>
        <rFont val="Calibri"/>
        <b/>
        <color rgb="FF404040"/>
        <sz val="10.0"/>
      </rPr>
      <t>누적</t>
    </r>
    <r>
      <rPr>
        <rFont val="Calibri"/>
        <b/>
        <color rgb="FF404040"/>
        <sz val="10.0"/>
      </rPr>
      <t>)</t>
    </r>
  </si>
  <si>
    <r>
      <rPr>
        <rFont val="Calibri"/>
        <b/>
        <color rgb="FF404040"/>
        <sz val="10.0"/>
      </rPr>
      <t>잔여공수</t>
    </r>
  </si>
  <si>
    <r>
      <rPr>
        <rFont val="Calibri"/>
        <b/>
        <color theme="1"/>
        <sz val="10.0"/>
      </rPr>
      <t>월별</t>
    </r>
    <r>
      <rPr>
        <rFont val="Calibri"/>
        <b/>
        <color theme="1"/>
        <sz val="10.0"/>
      </rPr>
      <t xml:space="preserve"> </t>
    </r>
    <r>
      <rPr>
        <rFont val="Calibri"/>
        <b/>
        <color theme="1"/>
        <sz val="10.0"/>
      </rPr>
      <t>인력투입현황</t>
    </r>
  </si>
  <si>
    <r>
      <rPr>
        <rFont val="Calibri"/>
        <b/>
        <color theme="1"/>
        <sz val="10.0"/>
      </rPr>
      <t>1</t>
    </r>
    <r>
      <rPr>
        <rFont val="Calibri"/>
        <b/>
        <color theme="1"/>
        <sz val="10.0"/>
      </rPr>
      <t>월</t>
    </r>
  </si>
  <si>
    <r>
      <rPr>
        <rFont val="Calibri"/>
        <b/>
        <color theme="1"/>
        <sz val="10.0"/>
      </rPr>
      <t>2</t>
    </r>
    <r>
      <rPr>
        <rFont val="Calibri"/>
        <b/>
        <color theme="1"/>
        <sz val="10.0"/>
      </rPr>
      <t>월</t>
    </r>
  </si>
  <si>
    <r>
      <rPr>
        <rFont val="Calibri"/>
        <b/>
        <color theme="1"/>
        <sz val="10.0"/>
      </rPr>
      <t>3</t>
    </r>
    <r>
      <rPr>
        <rFont val="Calibri"/>
        <b/>
        <color theme="1"/>
        <sz val="10.0"/>
      </rPr>
      <t>월</t>
    </r>
  </si>
  <si>
    <r>
      <rPr>
        <rFont val="Calibri"/>
        <b/>
        <color theme="1"/>
        <sz val="10.0"/>
      </rPr>
      <t>4</t>
    </r>
    <r>
      <rPr>
        <rFont val="Calibri"/>
        <b/>
        <color theme="1"/>
        <sz val="10.0"/>
      </rPr>
      <t>월</t>
    </r>
  </si>
  <si>
    <r>
      <rPr>
        <rFont val="Calibri"/>
        <b/>
        <color theme="1"/>
        <sz val="10.0"/>
      </rPr>
      <t>5</t>
    </r>
    <r>
      <rPr>
        <rFont val="Calibri"/>
        <b/>
        <color theme="1"/>
        <sz val="10.0"/>
      </rPr>
      <t>월</t>
    </r>
  </si>
  <si>
    <r>
      <rPr>
        <rFont val="Calibri"/>
        <b/>
        <color theme="1"/>
        <sz val="10.0"/>
      </rPr>
      <t>6</t>
    </r>
    <r>
      <rPr>
        <rFont val="Calibri"/>
        <b/>
        <color theme="1"/>
        <sz val="10.0"/>
      </rPr>
      <t>월</t>
    </r>
  </si>
  <si>
    <r>
      <rPr>
        <rFont val="Calibri"/>
        <b/>
        <color theme="1"/>
        <sz val="10.0"/>
      </rPr>
      <t>7</t>
    </r>
    <r>
      <rPr>
        <rFont val="Calibri"/>
        <b/>
        <color theme="1"/>
        <sz val="10.0"/>
      </rPr>
      <t>월</t>
    </r>
  </si>
  <si>
    <r>
      <rPr>
        <rFont val="Calibri"/>
        <b/>
        <color theme="1"/>
        <sz val="10.0"/>
      </rPr>
      <t>8</t>
    </r>
    <r>
      <rPr>
        <rFont val="Calibri"/>
        <b/>
        <color theme="1"/>
        <sz val="10.0"/>
      </rPr>
      <t>월</t>
    </r>
  </si>
  <si>
    <r>
      <rPr>
        <rFont val="Calibri"/>
        <b/>
        <color theme="1"/>
        <sz val="10.0"/>
      </rPr>
      <t>9</t>
    </r>
    <r>
      <rPr>
        <rFont val="Calibri"/>
        <b/>
        <color theme="1"/>
        <sz val="10.0"/>
      </rPr>
      <t>월</t>
    </r>
  </si>
  <si>
    <r>
      <rPr>
        <rFont val="Calibri"/>
        <b/>
        <color theme="1"/>
        <sz val="10.0"/>
      </rPr>
      <t>10</t>
    </r>
    <r>
      <rPr>
        <rFont val="Calibri"/>
        <b/>
        <color theme="1"/>
        <sz val="10.0"/>
      </rPr>
      <t>월</t>
    </r>
  </si>
  <si>
    <r>
      <rPr>
        <rFont val="Calibri"/>
        <b/>
        <color theme="1"/>
        <sz val="10.0"/>
      </rPr>
      <t>11</t>
    </r>
    <r>
      <rPr>
        <rFont val="Calibri"/>
        <b/>
        <color theme="1"/>
        <sz val="10.0"/>
      </rPr>
      <t>월</t>
    </r>
  </si>
  <si>
    <r>
      <rPr>
        <rFont val="Calibri"/>
        <b/>
        <color theme="1"/>
        <sz val="10.0"/>
      </rPr>
      <t>12</t>
    </r>
    <r>
      <rPr>
        <rFont val="Calibri"/>
        <b/>
        <color theme="1"/>
        <sz val="10.0"/>
      </rPr>
      <t>월</t>
    </r>
  </si>
  <si>
    <r>
      <rPr>
        <rFont val="Calibri"/>
        <b/>
        <color theme="1"/>
        <sz val="10.0"/>
      </rPr>
      <t>목표</t>
    </r>
  </si>
  <si>
    <r>
      <rPr>
        <rFont val="Calibri"/>
        <b/>
        <color theme="1"/>
        <sz val="10.0"/>
      </rPr>
      <t>투입</t>
    </r>
  </si>
  <si>
    <r>
      <rPr>
        <rFont val="Calibri"/>
        <b/>
        <color theme="1"/>
        <sz val="10.0"/>
      </rPr>
      <t>목표</t>
    </r>
  </si>
  <si>
    <r>
      <rPr>
        <rFont val="Calibri"/>
        <b/>
        <color theme="1"/>
        <sz val="10.0"/>
      </rPr>
      <t>투입</t>
    </r>
  </si>
  <si>
    <r>
      <rPr>
        <rFont val="Calibri"/>
        <b/>
        <color theme="1"/>
        <sz val="10.0"/>
      </rPr>
      <t>목표</t>
    </r>
  </si>
  <si>
    <r>
      <rPr>
        <rFont val="Calibri"/>
        <b/>
        <color theme="1"/>
        <sz val="10.0"/>
      </rPr>
      <t>투입</t>
    </r>
  </si>
  <si>
    <r>
      <rPr>
        <rFont val="Calibri"/>
        <b/>
        <color theme="1"/>
        <sz val="10.0"/>
      </rPr>
      <t>목표</t>
    </r>
  </si>
  <si>
    <r>
      <rPr>
        <rFont val="Calibri"/>
        <b/>
        <color theme="1"/>
        <sz val="10.0"/>
      </rPr>
      <t>투입</t>
    </r>
  </si>
  <si>
    <r>
      <rPr>
        <rFont val="Calibri"/>
        <b/>
        <color theme="1"/>
        <sz val="10.0"/>
      </rPr>
      <t>목표</t>
    </r>
  </si>
  <si>
    <r>
      <rPr>
        <rFont val="Calibri"/>
        <b/>
        <color theme="1"/>
        <sz val="10.0"/>
      </rPr>
      <t>투입</t>
    </r>
  </si>
  <si>
    <r>
      <rPr>
        <rFont val="Calibri"/>
        <b/>
        <color theme="1"/>
        <sz val="10.0"/>
      </rPr>
      <t>목표</t>
    </r>
  </si>
  <si>
    <r>
      <rPr>
        <rFont val="Calibri"/>
        <b/>
        <color theme="1"/>
        <sz val="10.0"/>
      </rPr>
      <t>투입</t>
    </r>
  </si>
  <si>
    <r>
      <rPr>
        <rFont val="Calibri"/>
        <b/>
        <color theme="1"/>
        <sz val="10.0"/>
      </rPr>
      <t>목표</t>
    </r>
  </si>
  <si>
    <r>
      <rPr>
        <rFont val="Calibri"/>
        <b/>
        <color theme="1"/>
        <sz val="10.0"/>
      </rPr>
      <t>투입</t>
    </r>
  </si>
  <si>
    <r>
      <rPr>
        <rFont val="Calibri"/>
        <b/>
        <color theme="1"/>
        <sz val="10.0"/>
      </rPr>
      <t>목표</t>
    </r>
  </si>
  <si>
    <r>
      <rPr>
        <rFont val="Calibri"/>
        <b/>
        <color theme="1"/>
        <sz val="10.0"/>
      </rPr>
      <t>투입</t>
    </r>
  </si>
  <si>
    <r>
      <rPr>
        <rFont val="Calibri"/>
        <b/>
        <color theme="1"/>
        <sz val="10.0"/>
      </rPr>
      <t>목표</t>
    </r>
  </si>
  <si>
    <r>
      <rPr>
        <rFont val="Calibri"/>
        <b/>
        <color theme="1"/>
        <sz val="10.0"/>
      </rPr>
      <t>투입</t>
    </r>
  </si>
  <si>
    <r>
      <rPr>
        <rFont val="Calibri"/>
        <b/>
        <color theme="1"/>
        <sz val="10.0"/>
      </rPr>
      <t>목표</t>
    </r>
  </si>
  <si>
    <r>
      <rPr>
        <rFont val="Calibri"/>
        <b/>
        <color theme="1"/>
        <sz val="10.0"/>
      </rPr>
      <t>투입</t>
    </r>
  </si>
  <si>
    <r>
      <rPr>
        <rFont val="Calibri"/>
        <b/>
        <color theme="1"/>
        <sz val="10.0"/>
      </rPr>
      <t>목표</t>
    </r>
  </si>
  <si>
    <r>
      <rPr>
        <rFont val="Calibri"/>
        <b/>
        <color theme="1"/>
        <sz val="10.0"/>
      </rPr>
      <t>투입</t>
    </r>
  </si>
  <si>
    <r>
      <rPr>
        <rFont val="Calibri"/>
        <b/>
        <color theme="1"/>
        <sz val="10.0"/>
      </rPr>
      <t>목표</t>
    </r>
  </si>
  <si>
    <r>
      <rPr>
        <rFont val="Calibri"/>
        <b/>
        <color theme="1"/>
        <sz val="10.0"/>
      </rPr>
      <t>투입</t>
    </r>
  </si>
  <si>
    <r>
      <rPr>
        <rFont val="Calibri"/>
        <color theme="1"/>
        <sz val="11.0"/>
      </rPr>
      <t>장일훈</t>
    </r>
  </si>
  <si>
    <t>PM</t>
  </si>
  <si>
    <r>
      <rPr>
        <rFont val="Calibri"/>
        <color theme="1"/>
        <sz val="11.0"/>
      </rPr>
      <t>특급</t>
    </r>
  </si>
  <si>
    <r>
      <rPr>
        <rFont val="Calibri"/>
        <color theme="1"/>
        <sz val="11.0"/>
      </rPr>
      <t>㈜이포넷</t>
    </r>
  </si>
  <si>
    <r>
      <rPr>
        <rFont val="Calibri"/>
        <color theme="1"/>
        <sz val="11.0"/>
      </rPr>
      <t>김선형</t>
    </r>
  </si>
  <si>
    <r>
      <rPr>
        <rFont val="Calibri"/>
        <color theme="1"/>
        <sz val="11.0"/>
      </rPr>
      <t>업무총괄</t>
    </r>
    <r>
      <rPr>
        <rFont val="Calibri"/>
        <color theme="1"/>
        <sz val="11.0"/>
      </rPr>
      <t>PL</t>
    </r>
  </si>
  <si>
    <r>
      <rPr>
        <rFont val="Calibri"/>
        <color theme="1"/>
        <sz val="11.0"/>
      </rPr>
      <t>특급</t>
    </r>
  </si>
  <si>
    <r>
      <rPr>
        <rFont val="Calibri"/>
        <color theme="1"/>
        <sz val="11.0"/>
      </rPr>
      <t>㈜이포넷</t>
    </r>
  </si>
  <si>
    <r>
      <rPr>
        <rFont val="Calibri"/>
        <color rgb="FF000000"/>
        <sz val="11.0"/>
      </rPr>
      <t>송현주</t>
    </r>
  </si>
  <si>
    <r>
      <rPr>
        <rFont val="Calibri"/>
        <color rgb="FF000000"/>
        <sz val="10.0"/>
      </rPr>
      <t>사업관리</t>
    </r>
  </si>
  <si>
    <r>
      <rPr>
        <rFont val="Calibri"/>
        <color theme="1"/>
        <sz val="11.0"/>
      </rPr>
      <t>특급</t>
    </r>
  </si>
  <si>
    <r>
      <rPr>
        <rFont val="Calibri"/>
        <color theme="1"/>
        <sz val="11.0"/>
      </rPr>
      <t>㈜이포넷</t>
    </r>
  </si>
  <si>
    <r>
      <rPr>
        <rFont val="Calibri"/>
        <color theme="1"/>
        <sz val="11.0"/>
      </rPr>
      <t>황안나</t>
    </r>
  </si>
  <si>
    <r>
      <rPr>
        <rFont val="Calibri"/>
        <color theme="1"/>
        <sz val="11.0"/>
      </rPr>
      <t>분석설계</t>
    </r>
  </si>
  <si>
    <r>
      <rPr>
        <rFont val="Calibri"/>
        <color theme="1"/>
        <sz val="11.0"/>
      </rPr>
      <t>특급</t>
    </r>
  </si>
  <si>
    <r>
      <rPr>
        <rFont val="Calibri"/>
        <color theme="1"/>
        <sz val="11.0"/>
      </rPr>
      <t>㈜이포넷</t>
    </r>
  </si>
  <si>
    <r>
      <rPr>
        <rFont val="Calibri"/>
        <color theme="1"/>
        <sz val="11.0"/>
      </rPr>
      <t>이진영</t>
    </r>
  </si>
  <si>
    <r>
      <rPr>
        <rFont val="Calibri"/>
        <color theme="1"/>
        <sz val="11.0"/>
      </rPr>
      <t>분석설계</t>
    </r>
  </si>
  <si>
    <r>
      <rPr>
        <rFont val="Calibri"/>
        <color theme="1"/>
        <sz val="11.0"/>
      </rPr>
      <t>고급</t>
    </r>
  </si>
  <si>
    <r>
      <rPr>
        <rFont val="Calibri"/>
        <color theme="1"/>
        <sz val="11.0"/>
      </rPr>
      <t>㈜이포넷</t>
    </r>
  </si>
  <si>
    <r>
      <rPr>
        <rFont val="Calibri"/>
        <color theme="1"/>
        <sz val="11.0"/>
      </rPr>
      <t>진예은</t>
    </r>
  </si>
  <si>
    <r>
      <rPr>
        <rFont val="Calibri"/>
        <color theme="1"/>
        <sz val="11.0"/>
      </rPr>
      <t>개발</t>
    </r>
  </si>
  <si>
    <r>
      <rPr>
        <rFont val="Calibri"/>
        <color theme="1"/>
        <sz val="11.0"/>
      </rPr>
      <t>초급</t>
    </r>
  </si>
  <si>
    <r>
      <rPr>
        <rFont val="Calibri"/>
        <color theme="1"/>
        <sz val="11.0"/>
      </rPr>
      <t>㈜이포넷</t>
    </r>
  </si>
  <si>
    <r>
      <rPr>
        <rFont val="Calibri"/>
        <color theme="1"/>
        <sz val="11.0"/>
      </rPr>
      <t>최민정</t>
    </r>
  </si>
  <si>
    <r>
      <rPr>
        <rFont val="Calibri"/>
        <color theme="1"/>
        <sz val="11.0"/>
      </rPr>
      <t>개발</t>
    </r>
  </si>
  <si>
    <r>
      <rPr>
        <rFont val="Calibri"/>
        <color theme="1"/>
        <sz val="11.0"/>
      </rPr>
      <t>초급</t>
    </r>
  </si>
  <si>
    <r>
      <rPr>
        <rFont val="Calibri"/>
        <color theme="1"/>
        <sz val="11.0"/>
      </rPr>
      <t>㈜이포넷</t>
    </r>
  </si>
  <si>
    <r>
      <rPr>
        <rFont val="Calibri"/>
        <color theme="1"/>
        <sz val="11.0"/>
      </rPr>
      <t>백철민</t>
    </r>
  </si>
  <si>
    <r>
      <rPr>
        <rFont val="Calibri"/>
        <color theme="1"/>
        <sz val="11.0"/>
      </rPr>
      <t>개발</t>
    </r>
  </si>
  <si>
    <r>
      <rPr>
        <rFont val="Calibri"/>
        <color theme="1"/>
        <sz val="11.0"/>
      </rPr>
      <t>고급</t>
    </r>
  </si>
  <si>
    <r>
      <rPr>
        <rFont val="Calibri"/>
        <color theme="1"/>
        <sz val="11.0"/>
      </rPr>
      <t>㈜이포넷</t>
    </r>
  </si>
  <si>
    <r>
      <rPr>
        <rFont val="Calibri"/>
        <color rgb="FF000000"/>
        <sz val="11.0"/>
      </rPr>
      <t>성민주</t>
    </r>
  </si>
  <si>
    <r>
      <rPr>
        <rFont val="Calibri"/>
        <color rgb="FF000000"/>
        <sz val="10.0"/>
      </rPr>
      <t>개발</t>
    </r>
  </si>
  <si>
    <r>
      <rPr>
        <rFont val="Calibri"/>
        <color theme="1"/>
        <sz val="11.0"/>
      </rPr>
      <t>초급</t>
    </r>
  </si>
  <si>
    <r>
      <rPr>
        <rFont val="Calibri"/>
        <color theme="1"/>
        <sz val="11.0"/>
      </rPr>
      <t>㈜이포넷</t>
    </r>
  </si>
  <si>
    <r>
      <rPr>
        <rFont val="Calibri"/>
        <color theme="1"/>
        <sz val="11.0"/>
      </rPr>
      <t>이동하</t>
    </r>
  </si>
  <si>
    <r>
      <rPr>
        <rFont val="Calibri"/>
        <color theme="1"/>
        <sz val="11.0"/>
      </rPr>
      <t>개발</t>
    </r>
  </si>
  <si>
    <r>
      <rPr>
        <rFont val="Calibri"/>
        <color theme="1"/>
        <sz val="11.0"/>
      </rPr>
      <t>특급</t>
    </r>
  </si>
  <si>
    <r>
      <rPr>
        <rFont val="Calibri"/>
        <color theme="1"/>
        <sz val="11.0"/>
      </rPr>
      <t>오엠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인터렉티브</t>
    </r>
  </si>
  <si>
    <r>
      <rPr>
        <rFont val="Calibri"/>
        <color theme="1"/>
        <sz val="11.0"/>
      </rPr>
      <t>김다정</t>
    </r>
  </si>
  <si>
    <r>
      <rPr>
        <rFont val="Calibri"/>
        <color theme="1"/>
        <sz val="11.0"/>
      </rPr>
      <t>개발</t>
    </r>
  </si>
  <si>
    <r>
      <rPr>
        <rFont val="Calibri"/>
        <color theme="1"/>
        <sz val="11.0"/>
      </rPr>
      <t>고급</t>
    </r>
  </si>
  <si>
    <r>
      <rPr>
        <rFont val="Calibri"/>
        <color theme="1"/>
        <sz val="11.0"/>
      </rPr>
      <t>오엠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인터렉티브</t>
    </r>
  </si>
  <si>
    <r>
      <rPr>
        <rFont val="Calibri"/>
        <color theme="1"/>
        <sz val="11.0"/>
      </rPr>
      <t>양승현</t>
    </r>
  </si>
  <si>
    <r>
      <rPr>
        <rFont val="Calibri"/>
        <color theme="1"/>
        <sz val="11.0"/>
      </rPr>
      <t>개발</t>
    </r>
  </si>
  <si>
    <r>
      <rPr>
        <rFont val="Calibri"/>
        <color theme="1"/>
        <sz val="11.0"/>
      </rPr>
      <t>중급</t>
    </r>
  </si>
  <si>
    <r>
      <rPr>
        <rFont val="Calibri"/>
        <color theme="1"/>
        <sz val="11.0"/>
      </rPr>
      <t>오엠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인터렉티브</t>
    </r>
  </si>
  <si>
    <r>
      <rPr>
        <rFont val="Calibri"/>
        <b/>
        <color theme="1"/>
        <sz val="11.0"/>
      </rPr>
      <t>합계</t>
    </r>
  </si>
  <si>
    <t>프로젝트 진척률 보고서</t>
  </si>
  <si>
    <t>1. 프로젝트 명</t>
  </si>
  <si>
    <t>누적 실적 측정 기준일</t>
  </si>
  <si>
    <t>2. 프로젝트 일정</t>
  </si>
  <si>
    <t>누적 진척률 계산기간</t>
  </si>
  <si>
    <t>시작일</t>
  </si>
  <si>
    <t>종료일</t>
  </si>
  <si>
    <t>3. 프로젝트 진척율</t>
  </si>
  <si>
    <t>구분</t>
  </si>
  <si>
    <t>가중치</t>
  </si>
  <si>
    <t>전체진척률(100%)</t>
  </si>
  <si>
    <t>가중치 진척률</t>
  </si>
  <si>
    <t>비고</t>
  </si>
  <si>
    <t>목표진척률</t>
  </si>
  <si>
    <t>실적진척률</t>
  </si>
  <si>
    <t>달성률</t>
  </si>
  <si>
    <t>진행상태</t>
  </si>
  <si>
    <t>○ 실적 진척률 부여 기준(각 Task) (예시)</t>
  </si>
  <si>
    <t>사업관리</t>
  </si>
  <si>
    <t>&lt;진척률&gt;
- 미착수 : 0%
- 착수 : 20%
- 수행 1단계 : 35%
- 수행 2단계 : 55%
- 테스트 : 70%
- PL확인 : 80%
- PM확인 : 95%
- 완료 : 100%
&lt;상태&gt;
- 양호 : 95% 이상
- 지연 : 95% 미만
- 위험 : 90% 미만</t>
  </si>
  <si>
    <t>유지보수</t>
  </si>
  <si>
    <t>챗봇</t>
  </si>
  <si>
    <t>티켓관리</t>
  </si>
  <si>
    <t>기능개선</t>
  </si>
  <si>
    <t>SLA협약</t>
  </si>
  <si>
    <t>전체</t>
  </si>
  <si>
    <t>1. 사업관리</t>
  </si>
  <si>
    <t>계획진척률(누적)</t>
  </si>
  <si>
    <t>실적진척률(누적)</t>
  </si>
  <si>
    <t>계획</t>
  </si>
  <si>
    <t>실적</t>
  </si>
  <si>
    <t>단계</t>
  </si>
  <si>
    <t>Task</t>
  </si>
  <si>
    <t>산출물</t>
  </si>
  <si>
    <t>담당자</t>
  </si>
  <si>
    <t>계획시작일</t>
  </si>
  <si>
    <t>계획종료일</t>
  </si>
  <si>
    <t>기간(day)</t>
  </si>
  <si>
    <t>계획률</t>
  </si>
  <si>
    <t>상태</t>
  </si>
  <si>
    <t>진척률</t>
  </si>
  <si>
    <t>실제시작일</t>
  </si>
  <si>
    <t>실제종료일</t>
  </si>
  <si>
    <t>요약</t>
  </si>
  <si>
    <t>업무내용</t>
  </si>
  <si>
    <t>마일스톤</t>
  </si>
  <si>
    <t>착수보고회</t>
  </si>
  <si>
    <t>사업수행계획서 작성 및 제출</t>
  </si>
  <si>
    <t>착수계, 사업수행계획서</t>
  </si>
  <si>
    <t>완료</t>
  </si>
  <si>
    <t>착수보고회 준비 및 시행</t>
  </si>
  <si>
    <t>중간보고회</t>
  </si>
  <si>
    <t>워크샵 및 중간보고 발표자료 작성</t>
  </si>
  <si>
    <t>중간보고 발표자료</t>
  </si>
  <si>
    <t>미착수</t>
  </si>
  <si>
    <t>완료보고회</t>
  </si>
  <si>
    <t>완료보고 발표자료 작성 및 제출</t>
  </si>
  <si>
    <t>완료보고서</t>
  </si>
  <si>
    <t>완료보고회 준비 및 시행</t>
  </si>
  <si>
    <t>사업단</t>
  </si>
  <si>
    <t>착수 및 환경구성</t>
  </si>
  <si>
    <t>업무 환경 구성</t>
  </si>
  <si>
    <t>사무실 및 네트워크 환경 구성</t>
  </si>
  <si>
    <t>투입인력 장비 구성</t>
  </si>
  <si>
    <t>사업분석 및 요구사항 정의</t>
  </si>
  <si>
    <t>WBS 및 요구사항 정의 (기능개선)</t>
  </si>
  <si>
    <t>WBS 작성</t>
  </si>
  <si>
    <t>WBS</t>
  </si>
  <si>
    <t>요구사항 분석 및 정의 1차</t>
  </si>
  <si>
    <t>요구사항정의서</t>
  </si>
  <si>
    <t>업무PL</t>
  </si>
  <si>
    <t>요구사항 분석 및 정의 2차</t>
  </si>
  <si>
    <t>요구사항추적표</t>
  </si>
  <si>
    <t>요구사항 분석 및 정의 3차</t>
  </si>
  <si>
    <t>보안관리</t>
  </si>
  <si>
    <t>물리적 보안 시행</t>
  </si>
  <si>
    <t>사무실 출입 보안 장치 구성</t>
  </si>
  <si>
    <t>사무실 CCTV 신규 설치</t>
  </si>
  <si>
    <t>투입인력 PC 보안솔루션 설치</t>
  </si>
  <si>
    <t>보안산출물 작성</t>
  </si>
  <si>
    <t>투입인력 보안서약서 작성 및 제출</t>
  </si>
  <si>
    <t>보안서약서</t>
  </si>
  <si>
    <t>개인정보 보안교육</t>
  </si>
  <si>
    <t>개인정보보안교육 결과</t>
  </si>
  <si>
    <t>사무실 출입관리대장 작성</t>
  </si>
  <si>
    <t>출입관리대장</t>
  </si>
  <si>
    <t>전산장비 관리대장 작성</t>
  </si>
  <si>
    <t>전산장비 관리대장</t>
  </si>
  <si>
    <t>자료제공 관리대장 작성</t>
  </si>
  <si>
    <t>자료제공 관리대장</t>
  </si>
  <si>
    <t>반출입 관리대장 작성</t>
  </si>
  <si>
    <t>반출입 관리대장</t>
  </si>
  <si>
    <t>프로젝트 투입인력 검토 및 확정</t>
  </si>
  <si>
    <t>투입인력현황</t>
  </si>
  <si>
    <t>보안교육(신규 투입 인원 발생 시)</t>
  </si>
  <si>
    <t>02월 보안교육</t>
  </si>
  <si>
    <t>보안교육결과서</t>
  </si>
  <si>
    <t>03월 보안교육</t>
  </si>
  <si>
    <t>04월 보안교육</t>
  </si>
  <si>
    <t>05월 보안교육</t>
  </si>
  <si>
    <t>06월 보안교육</t>
  </si>
  <si>
    <t>07월 보안교육</t>
  </si>
  <si>
    <t>08월 보안교육</t>
  </si>
  <si>
    <t>09월 보안교육</t>
  </si>
  <si>
    <t>10월 보안교육</t>
  </si>
  <si>
    <t>11월 보안교육</t>
  </si>
  <si>
    <t>12월 보안교육</t>
  </si>
  <si>
    <t>교육 및 기술이전</t>
  </si>
  <si>
    <t>기술이전 계획 수립</t>
  </si>
  <si>
    <t>교육계획 수립</t>
  </si>
  <si>
    <t>교육 진행 및 결과 보고</t>
  </si>
  <si>
    <t>사업종료</t>
  </si>
  <si>
    <t>산출물 제출 및 사업종료</t>
  </si>
  <si>
    <t>투입장비 철수</t>
  </si>
  <si>
    <t>투입인력 보안확약서 작성 및 제출</t>
  </si>
  <si>
    <t>보안확약서</t>
  </si>
  <si>
    <t>납품확인 및 라이선스 제출</t>
  </si>
  <si>
    <t>라이선스</t>
  </si>
  <si>
    <t>프로젝트 산출물 제출</t>
  </si>
  <si>
    <t>정기보고</t>
  </si>
  <si>
    <t>주간보고 및 보안점검</t>
  </si>
  <si>
    <t>1주차 주간보고 및 보안점검</t>
  </si>
  <si>
    <t>주간보고서, 보안점검표</t>
  </si>
  <si>
    <t>진흥원, 사업단</t>
  </si>
  <si>
    <t>2주차 주간보고 및 보안점검</t>
  </si>
  <si>
    <t>3주차 주간보고 및 보안점검</t>
  </si>
  <si>
    <t>4주차 주간보고 및 보안점검</t>
  </si>
  <si>
    <t>5주차 주간보고 및 보안점검</t>
  </si>
  <si>
    <t>6주차 주간보고 및 보안점검</t>
  </si>
  <si>
    <t>7주차 주간보고 및 보안점검</t>
  </si>
  <si>
    <t>8주차 주간보고 및 보안점검</t>
  </si>
  <si>
    <t>9주차 주간보고 및 보안점검</t>
  </si>
  <si>
    <t>10주차 주간보고 및 보안점검</t>
  </si>
  <si>
    <t>11주차 주간보고 및 보안점검</t>
  </si>
  <si>
    <t>12주차 주간보고 및 보안점검</t>
  </si>
  <si>
    <t>13주차 주간보고 및 보안점검</t>
  </si>
  <si>
    <t>14주차 주간보고 및 보안점검</t>
  </si>
  <si>
    <t>15주차 주간보고 및 보안점검</t>
  </si>
  <si>
    <t>16주차 주간보고 및 보안점검</t>
  </si>
  <si>
    <t>17주차 주간보고 및 보안점검</t>
  </si>
  <si>
    <t>18주차 주간보고 및 보안점검</t>
  </si>
  <si>
    <t>19주차 주간보고 및 보안점검</t>
  </si>
  <si>
    <t>20주차 주간보고 및 보안점검</t>
  </si>
  <si>
    <t>21주차 주간보고 및 보안점검</t>
  </si>
  <si>
    <t>22주차 주간보고 및 보안점검</t>
  </si>
  <si>
    <t>23주차 주간보고 및 보안점검</t>
  </si>
  <si>
    <t>24주차 주간보고 및 보안점검</t>
  </si>
  <si>
    <t>25주차 주간보고 및 보안점검</t>
  </si>
  <si>
    <t>26주차 주간보고 및 보안점검</t>
  </si>
  <si>
    <t>27주차 주간보고 및 보안점검</t>
  </si>
  <si>
    <t>28주차 주간보고 및 보안점검</t>
  </si>
  <si>
    <t>29주차 주간보고 및 보안점검</t>
  </si>
  <si>
    <t>30주차 주간보고 및 보안점검</t>
  </si>
  <si>
    <t>31주차 주간보고 및 보안점검</t>
  </si>
  <si>
    <t>32주차 주간보고 및 보안점검</t>
  </si>
  <si>
    <t>33주차 주간보고 및 보안점검</t>
  </si>
  <si>
    <t>34주차 주간보고 및 보안점검</t>
  </si>
  <si>
    <t>35주차 주간보고 및 보안점검</t>
  </si>
  <si>
    <t>36주차 주간보고 및 보안점검</t>
  </si>
  <si>
    <t>37주차 주간보고 및 보안점검</t>
  </si>
  <si>
    <t>38주차 주간보고 및 보안점검</t>
  </si>
  <si>
    <t>39주차 주간보고 및 보안점검</t>
  </si>
  <si>
    <t>40주차 주간보고 및 보안점검</t>
  </si>
  <si>
    <t>41주차 주간보고 및 보안점검</t>
  </si>
  <si>
    <t>42주차 주간보고 및 보안점검</t>
  </si>
  <si>
    <t>43주차 주간보고 및 보안점검</t>
  </si>
  <si>
    <t>44주차 주간보고 및 보안점검</t>
  </si>
  <si>
    <t>45주차 주간보고 및 보안점검</t>
  </si>
  <si>
    <t>46주차 주간보고 및 보안점검</t>
  </si>
  <si>
    <t>47주차 주간보고 및 보안점검</t>
  </si>
  <si>
    <t>월간보고</t>
  </si>
  <si>
    <t>2월 월간보고</t>
  </si>
  <si>
    <t>월간보고서</t>
  </si>
  <si>
    <t>3월 월간보고</t>
  </si>
  <si>
    <t>4월 월간보고</t>
  </si>
  <si>
    <t>5월 월간보고</t>
  </si>
  <si>
    <t>6월 월간보고</t>
  </si>
  <si>
    <t>7월 월간보고</t>
  </si>
  <si>
    <t>8월 월간보고</t>
  </si>
  <si>
    <t>9월 월간보고</t>
  </si>
  <si>
    <t>10월 월간보고</t>
  </si>
  <si>
    <t>11월 월간보고</t>
  </si>
  <si>
    <t>12월 월간보고</t>
  </si>
  <si>
    <t>2. 챗봇</t>
  </si>
  <si>
    <t>업무</t>
  </si>
  <si>
    <t>티켓관리시스템 도입 및 구축</t>
  </si>
  <si>
    <t>분석/설계</t>
  </si>
  <si>
    <t>솔루션 분석 및 요구사항 정의</t>
  </si>
  <si>
    <t>RFP 검토</t>
  </si>
  <si>
    <t>솔루션 기능 시연</t>
  </si>
  <si>
    <t>솔루션 도입 최종 검토(최종 검토 후 아래 일정 수행)</t>
  </si>
  <si>
    <t>요구사항 취합 및 정의</t>
  </si>
  <si>
    <t>커스터마이징 설계</t>
  </si>
  <si>
    <t>커스터마이징 범위 정의</t>
  </si>
  <si>
    <t>요구사항 기능 매핑</t>
  </si>
  <si>
    <t>설치 및 커스터마이징</t>
  </si>
  <si>
    <t>솔루션 설치</t>
  </si>
  <si>
    <t>솔루션 설치 및 설정</t>
  </si>
  <si>
    <t>솔루션 기본 기능 테스트</t>
  </si>
  <si>
    <t>커스터마이징 구현</t>
  </si>
  <si>
    <t>커스터마이징 대상 화면 설계</t>
  </si>
  <si>
    <t>커스터마이징 대상 개발(향 후 일정 상세회 예정)</t>
  </si>
  <si>
    <t>솔루션 테스트</t>
  </si>
  <si>
    <t>이행</t>
  </si>
  <si>
    <t>`</t>
  </si>
  <si>
    <t>통계솔루션 운영 매뉴얼 작성</t>
  </si>
  <si>
    <t>솔루션 최종 오픈</t>
  </si>
  <si>
    <t>3. 티켓관리</t>
  </si>
  <si>
    <t>4. 기능개선</t>
  </si>
  <si>
    <t>고도화 및 기능개선</t>
  </si>
  <si>
    <t>기능개선 분석 및 요구사항 정의</t>
  </si>
  <si>
    <t>현행 시스템 분석</t>
  </si>
  <si>
    <t>현행 업무프로세스 분석</t>
  </si>
  <si>
    <t>시스템매뉴얼 분석</t>
  </si>
  <si>
    <t>요구사항 정의</t>
  </si>
  <si>
    <t>1차 요구사항 정의</t>
  </si>
  <si>
    <t>2차 요구사항 정의</t>
  </si>
  <si>
    <t>3차 요구사항 정의</t>
  </si>
  <si>
    <t>기능개선 설계 및 이행</t>
  </si>
  <si>
    <t>사이트별 독립 구조 개선</t>
  </si>
  <si>
    <t>가치장터 사이트 분리 대상 및 범위 분석/설계</t>
  </si>
  <si>
    <t>가치장터 사이트 분리 대상 및 범위 개발</t>
  </si>
  <si>
    <t>수행2단계</t>
  </si>
  <si>
    <t>가치장터 구매계약 UX/UI  개선</t>
  </si>
  <si>
    <t>UX/UI 분석 / 인터뷰</t>
  </si>
  <si>
    <t>기존 업무 화면 분석</t>
  </si>
  <si>
    <t>기존 디자인 스타일 가이드 분석</t>
  </si>
  <si>
    <t>고객 인터뷰 시행</t>
  </si>
  <si>
    <t>UX/UI 요구사항 정의</t>
  </si>
  <si>
    <t>UI/UX 설계</t>
  </si>
  <si>
    <t>UI/UX 디자인</t>
  </si>
  <si>
    <t>UI/UX 퍼블리싱</t>
  </si>
  <si>
    <t>가치장터 구매계약 설계 / 개발</t>
  </si>
  <si>
    <t>공급요청 설계/개발</t>
  </si>
  <si>
    <t>공급요청 설계</t>
  </si>
  <si>
    <t>공급요청 개발</t>
  </si>
  <si>
    <t>견적/가격협상/계약 설계/개발</t>
  </si>
  <si>
    <t>견적요청 설계</t>
  </si>
  <si>
    <t>견적요청 개발</t>
  </si>
  <si>
    <t>가격협상 설계</t>
  </si>
  <si>
    <t>가격협상 개발</t>
  </si>
  <si>
    <t>계약대상관리 설계</t>
  </si>
  <si>
    <t>계약대상관리 개발</t>
  </si>
  <si>
    <t>계약목록현황 설계</t>
  </si>
  <si>
    <t>계약목록현황 개발</t>
  </si>
  <si>
    <t>주문/배송 설계/개발</t>
  </si>
  <si>
    <t>주문/배송조회 설계</t>
  </si>
  <si>
    <t>주문/배송조회 개발</t>
  </si>
  <si>
    <t>검수요청 설계</t>
  </si>
  <si>
    <t>검수요청 개발</t>
  </si>
  <si>
    <t>취소/교환/반품 설계</t>
  </si>
  <si>
    <t>취소/교환/반품 개발</t>
  </si>
  <si>
    <t>조달청 나라장터 연계 데이터 활성화</t>
  </si>
  <si>
    <t>연계 담당자의 소속기관코드 및 나라장터 사용자ID 현행화 방안</t>
  </si>
  <si>
    <t>연계 담당자의 소속기관코드 및 나라장터 사용자ID 기능 개선</t>
  </si>
  <si>
    <t>마이페이지(가치장터/STORE 36.5)  서비스 개선</t>
  </si>
  <si>
    <t>마이페이지(가치장터/STORE 36.5) 분석/설계</t>
  </si>
  <si>
    <t>마이페이지(가치장터/STORE 36.5) 개발</t>
  </si>
  <si>
    <t>가치장터 세금계산서 발행 기능 구현</t>
  </si>
  <si>
    <t>세금계산서 발행 절차 협의</t>
  </si>
  <si>
    <t>수행1단계</t>
  </si>
  <si>
    <t>세금계산서 발행 처리 기능개선 개발</t>
  </si>
  <si>
    <t>사회적 가치(SVI, SPC) 데이터 연계</t>
  </si>
  <si>
    <t>사회적가치(SVI, SPC) 데이터 활성화 방안 도출</t>
  </si>
  <si>
    <t>사회적가치(SVI, SPC) 데이터 활성화 기능개선 개발</t>
  </si>
  <si>
    <t>운영자시스템 기능 고도화</t>
  </si>
  <si>
    <t>운영자 시스템 기능 협의 1차</t>
  </si>
  <si>
    <t>착수</t>
  </si>
  <si>
    <t>주문관리 - (사이트별(가치장터/STORE36.5) 분리 관리체계 마련)</t>
  </si>
  <si>
    <t>상품정보 - 상품등록 시 일괄등록</t>
  </si>
  <si>
    <t>배송비 일괄설정</t>
  </si>
  <si>
    <t>운영자 시스템 기능 협의 2차</t>
  </si>
  <si>
    <t>운영자 대시보드 (디자인)</t>
  </si>
  <si>
    <t>전시관리 - 기획전 기능(할인적용 일괄처리방식적용)</t>
  </si>
  <si>
    <t>전시관리 - 포인트 기능</t>
  </si>
  <si>
    <t>전시관리 - 쿠폰 기능</t>
  </si>
  <si>
    <t>카테고리관리 - 분류된 대분류카테고리 썸네일 설정</t>
  </si>
  <si>
    <t>스토어 매장운영관리 기능</t>
  </si>
  <si>
    <t>판매자시스템 기능 고도화</t>
  </si>
  <si>
    <t>터</t>
  </si>
  <si>
    <t>판매자 시스템 기능 협의 1차</t>
  </si>
  <si>
    <t>상품관리 - 서비스, 상품 등록 간소화방식 개선</t>
  </si>
  <si>
    <t>상품관리 - 상품 간편관리 고도화(재고수량, 가치장터노출)</t>
  </si>
  <si>
    <t>판매자 시스템 기능 협의 2차</t>
  </si>
  <si>
    <t>판매자 대시보드(디자인)</t>
  </si>
  <si>
    <t>기획전참여관리 - 자체할인 프로모션 등의 이벤트 신청기능 셋팅</t>
  </si>
  <si>
    <t>정보 현행화(기업, 상품, 인증) 알림 고도화</t>
  </si>
  <si>
    <t>데이터 분석체계 고도화</t>
  </si>
  <si>
    <t>주요 통계 및 시각화 대상 협의 및 선정</t>
  </si>
  <si>
    <t>주요 통계 대시보드 기능개선 개발</t>
  </si>
  <si>
    <t>내/외부 연계</t>
  </si>
  <si>
    <t>정보시스템</t>
  </si>
  <si>
    <t>정보시스템(SEIS) 연계 협의 및 분석/설계</t>
  </si>
  <si>
    <t>정보시스템(SEIS) 데이터 연계 기능개선 개발</t>
  </si>
  <si>
    <t>행안부</t>
  </si>
  <si>
    <t>행정정보공동이용시스템 연계 협의(행정절차포함)</t>
  </si>
  <si>
    <t>국세청-국세완납증명서 API연계 기능 개발</t>
  </si>
  <si>
    <t>국민건강보험공단 - 4대보험완납증명서 API연계 기능 개발</t>
  </si>
  <si>
    <t>행정안전부 - 지방세납세증명서 API연계 기능 개발</t>
  </si>
  <si>
    <t>기타</t>
  </si>
  <si>
    <t>원격지원 솔루션 도입</t>
  </si>
  <si>
    <t>가치장터 세금계산서 도입</t>
  </si>
  <si>
    <t>배송현황</t>
  </si>
  <si>
    <t>배송조회 솔루션 도입 및 분석/설계</t>
  </si>
  <si>
    <t>배송조회 설치 및 개발</t>
  </si>
  <si>
    <t>6. SLA협약</t>
  </si>
  <si>
    <t>판로플랫폼 유지보수</t>
  </si>
  <si>
    <t>분석</t>
  </si>
  <si>
    <t>타기관 SLA 지표 분석</t>
  </si>
  <si>
    <t>SLA_협약서_비교분석_보고서</t>
  </si>
  <si>
    <t>SLA 목표 수준 정의</t>
  </si>
  <si>
    <t>지표 도출</t>
  </si>
  <si>
    <t>서비스 평가 항목 및 가중치 도출</t>
  </si>
  <si>
    <t>SLA협약서(초안)</t>
  </si>
  <si>
    <t>서비스 수준 평가 등급 도출</t>
  </si>
  <si>
    <t>서비스 평가항목별 지표 도출</t>
  </si>
  <si>
    <t>SLA 평가 처리 문서 개발</t>
  </si>
  <si>
    <t>서비스 평가 항목 및 지표 확정</t>
  </si>
  <si>
    <t>시범운영</t>
  </si>
  <si>
    <t>시범운영 결과 분석</t>
  </si>
  <si>
    <t>시범운영 결과 보고</t>
  </si>
  <si>
    <t>확정</t>
  </si>
  <si>
    <t>SLA 최종 확정</t>
  </si>
  <si>
    <t>SLA협약서(최종))</t>
  </si>
  <si>
    <t>SLA 적용</t>
  </si>
  <si>
    <t>월간보고서(7월말)</t>
  </si>
  <si>
    <r>
      <rPr>
        <rFont val="Malgun Gothic"/>
        <b/>
        <color theme="1"/>
        <sz val="11.0"/>
      </rPr>
      <t xml:space="preserve">ㅇ 작성 유의사항 -&gt; 개발 필요사항 등 </t>
    </r>
    <r>
      <rPr>
        <rFont val="Malgun Gothic"/>
        <b/>
        <color rgb="FFFF0000"/>
        <sz val="11.0"/>
        <u/>
      </rPr>
      <t>어드민 페이지에서 작성하기 어려운 내용</t>
    </r>
    <r>
      <rPr>
        <rFont val="Malgun Gothic"/>
        <b/>
        <color theme="1"/>
        <sz val="11.0"/>
      </rPr>
      <t>만 해당 시트로 요청 예정, 그 외 사항은 어드민 페이지에서 요청입력 예정
 - 현재시트 외 각 카테고리별로 각 시트별 예시를 참고하여 담당자별 프로젝트 관리사항 입력 관리 요청
 - 해당 자료를 기반으로, 주간 보고, 월간 보고 등 활용 예정</t>
    </r>
  </si>
  <si>
    <r>
      <rPr>
        <rFont val="Malgun Gothic"/>
        <b/>
        <color theme="1"/>
        <sz val="11.0"/>
      </rPr>
      <t xml:space="preserve">※ 주간 또는 월간 회의 </t>
    </r>
    <r>
      <rPr>
        <rFont val="Malgun Gothic"/>
        <b/>
        <color rgb="FFFF0000"/>
        <sz val="11.0"/>
        <u/>
      </rPr>
      <t xml:space="preserve">매주 15시
</t>
    </r>
    <r>
      <rPr>
        <rFont val="Malgun Gothic"/>
        <b/>
        <color rgb="FFFF0000"/>
        <sz val="11.0"/>
      </rPr>
      <t xml:space="preserve"> 2.24.(화) 15시</t>
    </r>
    <r>
      <rPr>
        <rFont val="Malgun Gothic"/>
        <b/>
        <color theme="1"/>
        <sz val="11.0"/>
      </rPr>
      <t xml:space="preserve">
 * 참석자: 진흥원 김영규 팀장, 황병준 과장
 </t>
    </r>
    <r>
      <rPr>
        <rFont val="Malgun Gothic"/>
        <b/>
        <color rgb="FFFF0000"/>
        <sz val="11.0"/>
      </rPr>
      <t>* 요청사항: 줌 개설 후 회의 참가 링크 공유 요청</t>
    </r>
  </si>
  <si>
    <t>2026년 판로플랫폼 고도화 및 유지관리 용역 업무관리시트(관리용)</t>
  </si>
  <si>
    <t>필요 시 작성</t>
  </si>
  <si>
    <t>연번</t>
  </si>
  <si>
    <t>우선순위</t>
  </si>
  <si>
    <t>요청일</t>
  </si>
  <si>
    <t>완료 희망일</t>
  </si>
  <si>
    <t>완료일</t>
  </si>
  <si>
    <t>요청자
(진흥원 담당)</t>
  </si>
  <si>
    <t>처리 담당자
(수행사)</t>
  </si>
  <si>
    <t>요청사항
(진흥원-&gt;수행사)</t>
  </si>
  <si>
    <t>요청 사항
(수행사-&gt;진흥원)</t>
  </si>
  <si>
    <t>조치사항
(진흥원)</t>
  </si>
  <si>
    <t>조치사항
(수행사)</t>
  </si>
  <si>
    <t>처리 결과
(진흥원)</t>
  </si>
  <si>
    <t>처리 결과
(수행사)</t>
  </si>
  <si>
    <t>보통</t>
  </si>
  <si>
    <t>황병준</t>
  </si>
  <si>
    <t>김선형</t>
  </si>
  <si>
    <t>페이지 로딩속도 반응 느림 및 불안정</t>
  </si>
  <si>
    <t>클라우드 서버 증량 필요</t>
  </si>
  <si>
    <t>필요 내역(메모리 증설 등) 회신 요청</t>
  </si>
  <si>
    <t>필요 내역(메모리 증설 등) 회신 완료</t>
  </si>
  <si>
    <t>진흥원 정보화팀 요청 완료(3~4일 소요 에정)</t>
  </si>
  <si>
    <t>1/21(목) 18:00 ~ 19:10 WAS1,2서버 메모리 증설 완료</t>
  </si>
  <si>
    <t>송현주</t>
  </si>
  <si>
    <t>간편인증 화면 개선</t>
  </si>
  <si>
    <t>긴급</t>
  </si>
  <si>
    <t>챗봇, 티켓관리 솔루션 나라장터 입점 여부 및 구매 가능 여부 확인(구매 가능 예산 최대 55백만원)</t>
  </si>
  <si>
    <t>챗봇(자산), 그외(클라우드 서비스 이용)</t>
  </si>
  <si>
    <t>확인 후 메일 회신 완료</t>
  </si>
  <si>
    <t>황안나</t>
  </si>
  <si>
    <t>어드민 관리자 계정 생성 (ID) socialover</t>
  </si>
  <si>
    <t>1/22 메일로 관련 내용 전달</t>
  </si>
  <si>
    <t>어드민 페이지 등 정보접근 권한 관련 관계자 ID 및 이름 목록 요청</t>
  </si>
  <si>
    <t>높음</t>
  </si>
  <si>
    <t>2025년 유지관리 용역 개인정보 파기 공문 회신 요청</t>
  </si>
  <si>
    <t>착수보고회 일정('26.2.10.(화) 14:00~16:00(예정), 진흥원 7층 영상회의실</t>
  </si>
  <si>
    <t>장소 변경(서울-&gt;성남)</t>
  </si>
  <si>
    <t>참여인력 파악 및 출력물 준비 필요</t>
  </si>
  <si>
    <t>신이수</t>
  </si>
  <si>
    <t>어드민 관리자 계정 생성 (ID) 1sshin</t>
  </si>
  <si>
    <t>1/30 메일로 관련 내용 전달</t>
  </si>
  <si>
    <t>낮음</t>
  </si>
  <si>
    <t>주간회의 줌링크 생성 및 공유(2.3.(화) 15:00)</t>
  </si>
  <si>
    <t>2/3 메일로 줌정보 전달</t>
  </si>
  <si>
    <t>시스템 오류사항(강원도 등) 접근 차단 원인 포함 보고서 제출 요청</t>
  </si>
  <si>
    <t>2/4 메일 전달(제목 : [502에러] 횡성군청 가치장터 접속에러 조치 내용)</t>
  </si>
  <si>
    <t>클라우드 서버 증량 등 요청사항 정리 및 송부 요청</t>
  </si>
  <si>
    <t>2/3 메일 전달-첨부파일내용기입(제목 : [RE][한국사회적기업진흥원] [판로지원팀] 시스템 장애 조치 보고서 작성 양식 송부 및 회신 요청)</t>
  </si>
  <si>
    <t>방화벽 솔루션 재설치 내역(설치일자 등 포함) 관련 메일 전달 요청</t>
  </si>
  <si>
    <t>2/4 메일 전달(제목 : [FW][한국사회적기업진흥원] 판로서비스 웹방화벽(WAF) 변경에 따른 환경 설정 완료 및 테스트 요청의 건
[FW][한국사회적기업진흥원] 웹방화벽(WAF) 도입/변경에 따른 DNS 변경 요청 건)</t>
  </si>
  <si>
    <t>정보접근권한 신청서 및 보안서약서 제출(투입인력 전원)_메일 송부 예정</t>
  </si>
  <si>
    <t>2/11 메일로 관련 내용 전달</t>
  </si>
  <si>
    <t>엑셀리언트_구글애널리틱스4, 가치장터&amp;스토어36.5 현재 적용 소스 코드 요청</t>
  </si>
  <si>
    <t>2/12 관련요청자료 메일로 전달</t>
  </si>
  <si>
    <t>검색엔진(와이즈넛) 검색 필터 변경 요청(기존 OR 조건 변경 AND 조건), 필요 시, 견적 요청 등 진행 부탁(와이즈넛)</t>
  </si>
  <si>
    <t>스토어 입점사 -&gt; 사회적경제기업(사회적기업, 사회적협동조합, 창업기업 선택 후) 테스트 계정 생성 (ID) Test00015</t>
  </si>
  <si>
    <t>(사유) 오엠 개인 계정으로 원래 테스트 계정 아님</t>
  </si>
  <si>
    <t>2/24 테스트계정 로그인계정 (tests2018) 메일로 전달</t>
  </si>
  <si>
    <t>가치장터-나라장터 연계(조달청 공고요청) 기관코드 일치 불일치 현황 점검(현황파악 요청)</t>
  </si>
  <si>
    <t>2/23 행정표준기관코드와 비교 자료 메일로 전달</t>
  </si>
  <si>
    <r>
      <rPr>
        <rFont val="Calibri"/>
        <color theme="1"/>
        <sz val="11.0"/>
      </rPr>
      <t xml:space="preserve">가치장터-나라장터 조달청 공고요청 </t>
    </r>
    <r>
      <rPr>
        <rFont val="Calibri"/>
        <b/>
        <color theme="1"/>
        <sz val="11.0"/>
      </rPr>
      <t>송신 후 나라장터 화면</t>
    </r>
    <r>
      <rPr>
        <rFont val="Calibri"/>
        <color theme="1"/>
        <sz val="11.0"/>
      </rPr>
      <t xml:space="preserve"> 확인 방법 확인 요청</t>
    </r>
  </si>
  <si>
    <t>확인 완료, 화면 설계 변경 필요</t>
  </si>
  <si>
    <t>0202-02-25</t>
  </si>
  <si>
    <t>판로플랫폼 행정표준코드(대전, 충남, 광주, 전남, 대구, 경북) 연계 데이터 현황조사</t>
  </si>
  <si>
    <t>2/25 메일로 관련 파일 전달</t>
  </si>
  <si>
    <t>ㅇ 작성범위
  - 서비스데스크 및 추가 요건 사항에 대해 작성 및 관리</t>
  </si>
  <si>
    <t>2026년 서비스데스크 업무 관리 시트</t>
  </si>
  <si>
    <t>No</t>
  </si>
  <si>
    <t>출처</t>
  </si>
  <si>
    <t>요청자구분</t>
  </si>
  <si>
    <t>요청자</t>
  </si>
  <si>
    <t>요청일자</t>
  </si>
  <si>
    <t>요청사항</t>
  </si>
  <si>
    <t>협의내용
 (회의 후 작성)</t>
  </si>
  <si>
    <t>처리담당자</t>
  </si>
  <si>
    <t>처리예정일자</t>
  </si>
  <si>
    <t>처리완료일자</t>
  </si>
  <si>
    <t>처리결과
 (시스템 반영 후 작성)</t>
  </si>
  <si>
    <t>서비스데스크
 (1323)</t>
  </si>
  <si>
    <t>진흥원</t>
  </si>
  <si>
    <t>이혜정</t>
  </si>
  <si>
    <t>가치장터 '기업정보 조회' 검색항목 추가, 수정</t>
  </si>
  <si>
    <r>
      <rPr>
        <rFont val="&quot;맑은 고딕&quot;"/>
        <color rgb="FF000000"/>
        <sz val="11.0"/>
      </rPr>
      <t xml:space="preserve">&lt; 26-01-27 협의 &gt;
  - 화면명 변경
  - 검색조건 추가 및 순서변경 : 우선구매대상, 지역, 가격범위, 기업명(추가), 사업자등록번호, 사회적가치지표전체, 탁월, 우수)(추가)
 &lt; 26-01-28 협의 &gt;
  - </t>
    </r>
    <r>
      <rPr>
        <rFont val="&quot;맑은 고딕&quot;"/>
        <color rgb="FFFF0000"/>
        <sz val="11.0"/>
      </rPr>
      <t>(보류)</t>
    </r>
    <r>
      <rPr>
        <rFont val="&quot;맑은 고딕&quot;"/>
        <color rgb="FF000000"/>
        <sz val="11.0"/>
      </rPr>
      <t xml:space="preserve"> 사회적가치지표 추가(추후 논의)</t>
    </r>
  </si>
  <si>
    <t>보류</t>
  </si>
  <si>
    <t>&lt; 26-01-29 &gt;
검색 항목(기업명) 추가 및 순서변경하여 반영함</t>
  </si>
  <si>
    <t>서비스데스크
 (1322)</t>
  </si>
  <si>
    <t>기관코드에 등록된 ‘대학’을 삭제 요청</t>
  </si>
  <si>
    <t>&lt; 26-01-27 협의 &gt;
  - 기관 사용자 중 해당 기관으로 가입한 사용자가 존재, 가입자의 기관정보를 변경하기 전까지는 기관코드 삭제를 할 수 없음
  - 기존 가입자의 기관코드부터 정리되면(진흥원 진행) 추후에 반영 예정
 &lt; 26-01-28 협의 &gt;
 - 이호영 -&gt; 한양대학교 수정
 ① 현상태 유지
 ② (검토) 연락 후 조정 등
 ③ (검토) 약관 개정 후 강제 탈퇴</t>
  </si>
  <si>
    <t>&lt; 26-02-04 &gt;
담당자가 변경 요청시 기관변경 하기로 함</t>
  </si>
  <si>
    <t>서비스데스크
 (1320)</t>
  </si>
  <si>
    <t>오엠(운영사)</t>
  </si>
  <si>
    <t>양진우</t>
  </si>
  <si>
    <t>1. 정가와 판매가가 다르게 등록될 경우 상품 목록 및 상세에 상품할인(%) 표시
 2. 잔여수량 노출</t>
  </si>
  <si>
    <r>
      <rPr>
        <rFont val="&quot;맑은 고딕&quot;, monospace"/>
        <color rgb="FF000000"/>
        <sz val="11.0"/>
      </rPr>
      <t xml:space="preserve">&lt; 26-01-27 협의 &gt;
  - </t>
    </r>
    <r>
      <rPr>
        <rFont val="&quot;맑은 고딕&quot;, monospace"/>
        <color rgb="FFFF0000"/>
        <sz val="11.0"/>
      </rPr>
      <t xml:space="preserve">(보류) </t>
    </r>
    <r>
      <rPr>
        <rFont val="&quot;맑은 고딕&quot;, monospace"/>
        <color rgb="FF000000"/>
        <sz val="11.0"/>
      </rPr>
      <t>판매가, 정가, 노출 등(추후 논의)
  - 잔여수량 노출은 반영</t>
    </r>
  </si>
  <si>
    <t>&lt; 26-02-02 &gt;
상품 상세 페이지에 잔여수량 제공(단, 판매사가 설정하는 값에 따라 노출 또는 비노출 됨)</t>
  </si>
  <si>
    <t>서비스데스크
 (1311)</t>
  </si>
  <si>
    <t>서비스 상품 등록시에도 SV 아이콘 등록할 수 있게 요청</t>
  </si>
  <si>
    <t>&lt; 26-01-27 협의 &gt;
  - 서비스 등록시 SV 아이콘 등록할 수 있도록 수정</t>
  </si>
  <si>
    <t>&lt; 26-02-02 &gt;
서비스 상품 등록시 SV아이콘 등록할 수 있도록 항목 추가함</t>
  </si>
  <si>
    <t>서비스데스크
 (1308)</t>
  </si>
  <si>
    <t>실시간 계좌이체 및 가상계좌 결제 이후 현금영수증 또는 세금계산서 발행 신청 가능하도록 요청</t>
  </si>
  <si>
    <t>&lt; 26-01-27 협의 &gt;
  - 실시간 계좌이체 및 가상계좌는 결제시 이니시스 모듈에서 현금영수증 발행(소득공제용, 제출증빙용) 신청이 가능하기 때문에 구현 불필요하며, 만약 추가시 이중 발급될 소지 있음
 &lt; 26-01-28 협의 &gt;
 ① 현상태 유지
 ② (검토) 실시간 계좌이체 또는 가상계좌의 경우, 이니시스 모듈에 가서 발행하는 안내 사항 제작(공지사항, 챗봇 등을 통해 공지)</t>
  </si>
  <si>
    <t>현상태 유지로 완료처리함</t>
  </si>
  <si>
    <t>서비스데스크
 (1301)</t>
  </si>
  <si>
    <t>가치장터 회원가입 기관 고유번호증 등록</t>
  </si>
  <si>
    <t>&lt; 26-01-27 협의 &gt;
  - 기관사용자 회원가입시 개별로 고유번호증 추가할 수 있도록 수정</t>
  </si>
  <si>
    <t>&lt; 26-02-09 &gt;
공공기관 사용자가 개별로 고유번호증 등록할 수 있도록 기능 추가함
 - 관리자 승인시에도 고유번호증 다운받을 수 있도록 함</t>
  </si>
  <si>
    <t>서비스데스크
 (1276)</t>
  </si>
  <si>
    <t>사회적기업 지점 정보 연계</t>
  </si>
  <si>
    <r>
      <rPr>
        <rFont val="&quot;맑은 고딕&quot;, monospace"/>
        <color rgb="FF000000"/>
        <sz val="11.0"/>
      </rPr>
      <t xml:space="preserve">&lt; 26-01-27 협의 &gt;
  - </t>
    </r>
    <r>
      <rPr>
        <rFont val="&quot;맑은 고딕&quot;, monospace"/>
        <color rgb="FFFF0000"/>
        <sz val="11.0"/>
      </rPr>
      <t>(보류)</t>
    </r>
    <r>
      <rPr>
        <rFont val="&quot;맑은 고딕&quot;, monospace"/>
        <color rgb="FF000000"/>
        <sz val="11.0"/>
      </rPr>
      <t xml:space="preserve"> 지점 관련 데이터 연계, 노출 부분 추후 진행
  - 정보시스템과 논의 필요</t>
    </r>
  </si>
  <si>
    <t>서비스데스크
 (1268)</t>
  </si>
  <si>
    <t>인증 만료일이 지난 기업에 대한 현행화</t>
  </si>
  <si>
    <r>
      <rPr>
        <rFont val="&quot;맑은 고딕&quot;, monospace"/>
        <color rgb="FF000000"/>
        <sz val="11.0"/>
      </rPr>
      <t xml:space="preserve">&lt; 26-01-27 협의 &gt;
  - </t>
    </r>
    <r>
      <rPr>
        <rFont val="&quot;맑은 고딕&quot;, monospace"/>
        <color rgb="FFFF0000"/>
        <sz val="11.0"/>
      </rPr>
      <t>(보류)</t>
    </r>
    <r>
      <rPr>
        <rFont val="&quot;맑은 고딕&quot;, monospace"/>
        <color rgb="FF000000"/>
        <sz val="11.0"/>
      </rPr>
      <t xml:space="preserve"> 현행화 시점 관련 가이드 및 기준 마련 후 진행</t>
    </r>
  </si>
  <si>
    <t>서비스데스크
 (1260)</t>
  </si>
  <si>
    <t>가치장터 경영정보&gt; 판매처 현황</t>
  </si>
  <si>
    <t>&lt; 26-01-27 협의 &gt;
  - 판매처 현황 최대 개수를 3개로 제한(거래금액 기준, TOP 3)
  - 금액 단위 위치 조정 : 거래금액(단위:천원)</t>
  </si>
  <si>
    <t>&lt; 26-01-29 &gt;
판매자현황 3개, 금액 단위 위치 조정하여 반영함</t>
  </si>
  <si>
    <t>서비스데스크
 (1224)</t>
  </si>
  <si>
    <t>판매자 푸시단계별 알림고도화 푸시목록</t>
  </si>
  <si>
    <r>
      <rPr>
        <rFont val="&quot;맑은 고딕&quot;, monospace"/>
        <color rgb="FF000000"/>
        <sz val="11.0"/>
      </rPr>
      <t xml:space="preserve">&lt; 26-01-27 협의 &gt;
  - </t>
    </r>
    <r>
      <rPr>
        <rFont val="&quot;맑은 고딕&quot;, monospace"/>
        <color rgb="FFFF0000"/>
        <sz val="11.0"/>
      </rPr>
      <t>(보류)</t>
    </r>
    <r>
      <rPr>
        <rFont val="&quot;맑은 고딕&quot;, monospace"/>
        <color rgb="FF000000"/>
        <sz val="11.0"/>
      </rPr>
      <t xml:space="preserve"> 알림 등 가이드 및 기준 마련 후 진행</t>
    </r>
  </si>
  <si>
    <t>서비스데스크
 (1373)</t>
  </si>
  <si>
    <t>김연수</t>
  </si>
  <si>
    <t>세금계산서 발행 에러 건 
 - 에러메시지 : 공급받는자 사업자번호의 회사정보 또는 MID 정보를 조회 할 수 없습니다.</t>
  </si>
  <si>
    <t>&lt;에러원인&gt;
  - 센드빌 모듈 내에 세금계산서 발행시 사용자는 하나의 사업자번호에 대해서만 세금계산서 발행이 가능하도록 되어져 있어 에러가 남
&lt;조치방안&gt;
  - 센드빌 모듈 내에 '회원자동가입정보' 등록시 한 사용자에 여러 사업자번호가 등록될 수 있도록 수정</t>
  </si>
  <si>
    <t>&lt; 26-02-24 &gt;
한 사용자에 여러 사업자번호가 등록될 수 있도록 로직 수정</t>
  </si>
  <si>
    <t>서비스데스크
 (1387)</t>
  </si>
  <si>
    <t>이수진</t>
  </si>
  <si>
    <t>구매실적(품목별, 월별), 계획(월별) -금액 포함해서 올라가도록 수정 요청</t>
  </si>
  <si>
    <t>&lt;조치방안&gt;
  - 마이너스 금액도 등록할 수 있도록 수정</t>
  </si>
  <si>
    <t>&lt; 26-02-23 &gt;
마이너스 금액 포함하여 업로드되도록 개선함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</si>
</sst>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\-mm\-dd"/>
    <numFmt numFmtId="165" formatCode="0.0%"/>
    <numFmt numFmtId="166" formatCode="0.00000%"/>
    <numFmt numFmtId="167" formatCode="#,##0_ "/>
    <numFmt numFmtId="168" formatCode="0.0"/>
    <numFmt numFmtId="169" formatCode="0.000"/>
  </numFmts>
  <fonts count="41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>
      <b/>
      <sz val="11.0"/>
      <color rgb="FFD9D9D9"/>
      <name val="Malgun Gothic"/>
    </font>
    <font/>
    <font>
      <b/>
      <sz val="24.0"/>
      <color theme="1"/>
      <name val="Malgun Gothic"/>
    </font>
    <font>
      <b/>
      <i/>
      <sz val="16.0"/>
      <color rgb="FF7F7F7F"/>
      <name val="Malgun Gothic"/>
    </font>
    <font>
      <b/>
      <sz val="12.0"/>
      <color theme="1"/>
      <name val="Malgun Gothic"/>
    </font>
    <font>
      <sz val="11.0"/>
      <color rgb="FFFF0000"/>
      <name val="Malgun Gothic"/>
    </font>
    <font>
      <sz val="9.0"/>
      <color rgb="FF595959"/>
      <name val="Malgun Gothic"/>
    </font>
    <font>
      <b/>
      <sz val="16.0"/>
      <color theme="1"/>
      <name val="Malgun Gothic"/>
    </font>
    <font>
      <sz val="10.0"/>
      <color theme="1"/>
      <name val="Malgun Gothic"/>
    </font>
    <font>
      <i/>
      <sz val="10.0"/>
      <color rgb="FF4A86E8"/>
      <name val="Malgun Gothic"/>
    </font>
    <font>
      <b/>
      <sz val="10.0"/>
      <color theme="1"/>
      <name val="Malgun Gothic"/>
    </font>
    <font>
      <b/>
      <sz val="10.0"/>
      <color rgb="FF404040"/>
      <name val="Calibri"/>
    </font>
    <font>
      <b/>
      <sz val="10.0"/>
      <color theme="1"/>
      <name val="Calibri"/>
    </font>
    <font>
      <sz val="11.0"/>
      <color theme="1"/>
      <name val="Calibri"/>
    </font>
    <font>
      <sz val="11.0"/>
      <color rgb="FF7F7F7F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0.0"/>
      <color rgb="FF000000"/>
      <name val="Calibri"/>
    </font>
    <font>
      <sz val="11.0"/>
      <color rgb="FF000000"/>
      <name val="Malgun Gothic"/>
    </font>
    <font>
      <b/>
      <sz val="16.0"/>
      <color theme="0"/>
      <name val="Malgun Gothic"/>
    </font>
    <font>
      <b/>
      <sz val="9.0"/>
      <color theme="1"/>
      <name val="Malgun Gothic"/>
    </font>
    <font>
      <b/>
      <sz val="9.0"/>
      <color rgb="FFFF0000"/>
      <name val="Malgun Gothic"/>
    </font>
    <font>
      <b/>
      <sz val="8.0"/>
      <color theme="1"/>
      <name val="Malgun Gothic"/>
    </font>
    <font>
      <b/>
      <sz val="8.0"/>
      <color rgb="FF000000"/>
      <name val="Malgun Gothic"/>
    </font>
    <font>
      <sz val="8.0"/>
      <color theme="1"/>
      <name val="Malgun Gothic"/>
    </font>
    <font>
      <b/>
      <sz val="9.0"/>
      <color rgb="FF000000"/>
      <name val="Malgun Gothic"/>
    </font>
    <font>
      <b/>
      <sz val="14.0"/>
      <color theme="1"/>
      <name val="Malgun Gothic"/>
    </font>
    <font>
      <b/>
      <sz val="10.0"/>
      <color rgb="FF000000"/>
      <name val="나눔고딕 Bold"/>
    </font>
    <font>
      <sz val="10.0"/>
      <color rgb="FF000000"/>
      <name val="나눔고딕"/>
    </font>
    <font>
      <sz val="10.0"/>
      <color rgb="FF000000"/>
      <name val="Malgun Gothic"/>
    </font>
    <font>
      <sz val="10.0"/>
      <color rgb="FFFF0000"/>
      <name val="Malgun Gothic"/>
    </font>
    <font>
      <b/>
      <sz val="20.0"/>
      <color theme="1"/>
      <name val="Malgun Gothic"/>
    </font>
    <font>
      <u/>
      <sz val="11.0"/>
      <color rgb="FF0000FF"/>
      <name val="Calibri"/>
    </font>
    <font>
      <i/>
      <sz val="11.0"/>
      <color rgb="FFFF0000"/>
      <name val="Calibri"/>
    </font>
    <font>
      <b/>
      <sz val="11.0"/>
      <color rgb="FF000000"/>
      <name val="&quot;맑은 고딕&quot;"/>
    </font>
    <font>
      <b/>
      <sz val="20.0"/>
      <color rgb="FF000000"/>
      <name val="&quot;맑은 고딕&quot;"/>
    </font>
    <font>
      <b/>
      <sz val="11.0"/>
      <color rgb="FF000000"/>
      <name val="Calibri"/>
    </font>
    <font>
      <sz val="11.0"/>
      <color rgb="FF000000"/>
      <name val="&quot;맑은 고딕&quot;"/>
    </font>
  </fonts>
  <fills count="22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E699"/>
        <bgColor rgb="FFFFE699"/>
      </patternFill>
    </fill>
  </fills>
  <borders count="1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1F3864"/>
      </bottom>
    </border>
    <border>
      <right style="medium">
        <color rgb="FF000000"/>
      </right>
      <bottom style="medium">
        <color rgb="FF1F3864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medium">
        <color rgb="FF000000"/>
      </right>
      <top/>
      <bottom/>
    </border>
    <border>
      <right style="thin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right/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hair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/>
      <bottom style="medium">
        <color rgb="FF000000"/>
      </bottom>
    </border>
    <border>
      <left style="hair">
        <color rgb="FF000000"/>
      </left>
      <right style="hair">
        <color rgb="FF000000"/>
      </right>
      <top/>
      <bottom style="medium">
        <color rgb="FF000000"/>
      </bottom>
    </border>
    <border>
      <left style="thin">
        <color rgb="FF000000"/>
      </left>
      <right style="hair">
        <color rgb="FF000000"/>
      </right>
      <top/>
      <bottom style="medium">
        <color rgb="FF000000"/>
      </bottom>
    </border>
    <border>
      <left style="hair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medium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 style="hair">
        <color rgb="FF000000"/>
      </right>
      <top/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6" fillId="0" fontId="2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4" numFmtId="0" xfId="0" applyBorder="1" applyFont="1"/>
    <xf borderId="9" fillId="0" fontId="5" numFmtId="0" xfId="0" applyAlignment="1" applyBorder="1" applyFont="1">
      <alignment horizontal="right"/>
    </xf>
    <xf borderId="9" fillId="0" fontId="4" numFmtId="0" xfId="0" applyBorder="1" applyFont="1"/>
    <xf borderId="10" fillId="0" fontId="4" numFmtId="0" xfId="0" applyBorder="1" applyFont="1"/>
    <xf borderId="0" fillId="0" fontId="6" numFmtId="0" xfId="0" applyAlignment="1" applyFont="1">
      <alignment horizontal="right" vertical="center"/>
    </xf>
    <xf borderId="5" fillId="0" fontId="4" numFmtId="0" xfId="0" applyBorder="1" applyFont="1"/>
    <xf borderId="4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Font="1"/>
    <xf borderId="4" fillId="0" fontId="9" numFmtId="0" xfId="0" applyAlignment="1" applyBorder="1" applyFont="1">
      <alignment horizontal="center" shrinkToFit="0" wrapText="1"/>
    </xf>
    <xf borderId="4" fillId="0" fontId="4" numFmtId="0" xfId="0" applyBorder="1" applyFont="1"/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4" fillId="0" fontId="10" numFmtId="0" xfId="0" applyAlignment="1" applyBorder="1" applyFont="1">
      <alignment horizontal="center" vertical="center"/>
    </xf>
    <xf borderId="15" fillId="0" fontId="4" numFmtId="0" xfId="0" applyBorder="1" applyFont="1"/>
    <xf borderId="16" fillId="0" fontId="4" numFmtId="0" xfId="0" applyBorder="1" applyFont="1"/>
    <xf borderId="0" fillId="0" fontId="10" numFmtId="0" xfId="0" applyFont="1"/>
    <xf borderId="17" fillId="2" fontId="7" numFmtId="0" xfId="0" applyAlignment="1" applyBorder="1" applyFill="1" applyFont="1">
      <alignment horizontal="center" vertical="center"/>
    </xf>
    <xf borderId="18" fillId="0" fontId="4" numFmtId="0" xfId="0" applyBorder="1" applyFont="1"/>
    <xf borderId="6" fillId="0" fontId="11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6" fillId="0" fontId="12" numFmtId="0" xfId="0" applyAlignment="1" applyBorder="1" applyFont="1">
      <alignment horizontal="left"/>
    </xf>
    <xf borderId="6" fillId="0" fontId="11" numFmtId="0" xfId="0" applyAlignment="1" applyBorder="1" applyFont="1">
      <alignment horizontal="left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9" fillId="3" fontId="10" numFmtId="0" xfId="0" applyAlignment="1" applyBorder="1" applyFill="1" applyFont="1">
      <alignment horizontal="center" vertical="center"/>
    </xf>
    <xf borderId="20" fillId="0" fontId="4" numFmtId="0" xfId="0" applyBorder="1" applyFont="1"/>
    <xf borderId="21" fillId="0" fontId="4" numFmtId="0" xfId="0" applyBorder="1" applyFont="1"/>
    <xf borderId="0" fillId="0" fontId="10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22" fillId="4" fontId="14" numFmtId="0" xfId="0" applyAlignment="1" applyBorder="1" applyFill="1" applyFont="1">
      <alignment horizontal="center" shrinkToFit="0" vertical="center" wrapText="1"/>
    </xf>
    <xf borderId="23" fillId="4" fontId="15" numFmtId="0" xfId="0" applyAlignment="1" applyBorder="1" applyFont="1">
      <alignment horizontal="center" vertical="center"/>
    </xf>
    <xf borderId="23" fillId="4" fontId="14" numFmtId="0" xfId="0" applyAlignment="1" applyBorder="1" applyFont="1">
      <alignment horizontal="center" shrinkToFit="0" vertical="center" wrapText="1"/>
    </xf>
    <xf borderId="24" fillId="4" fontId="15" numFmtId="0" xfId="0" applyAlignment="1" applyBorder="1" applyFont="1">
      <alignment horizontal="center" vertical="center"/>
    </xf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7" fillId="4" fontId="15" numFmtId="0" xfId="0" applyAlignment="1" applyBorder="1" applyFont="1">
      <alignment horizontal="center" vertical="center"/>
    </xf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32" fillId="4" fontId="15" numFmtId="0" xfId="0" applyAlignment="1" applyBorder="1" applyFont="1">
      <alignment horizontal="center" vertical="center"/>
    </xf>
    <xf borderId="33" fillId="4" fontId="15" numFmtId="0" xfId="0" applyAlignment="1" applyBorder="1" applyFont="1">
      <alignment horizontal="center" vertical="center"/>
    </xf>
    <xf borderId="34" fillId="0" fontId="16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right" vertical="center"/>
    </xf>
    <xf borderId="18" fillId="0" fontId="17" numFmtId="0" xfId="0" applyAlignment="1" applyBorder="1" applyFont="1">
      <alignment horizontal="center" vertical="center"/>
    </xf>
    <xf borderId="18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center" vertical="center"/>
    </xf>
    <xf borderId="36" fillId="0" fontId="16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right" vertical="center"/>
    </xf>
    <xf borderId="6" fillId="0" fontId="17" numFmtId="0" xfId="0" applyAlignment="1" applyBorder="1" applyFont="1">
      <alignment horizontal="center" vertical="center"/>
    </xf>
    <xf borderId="36" fillId="0" fontId="19" numFmtId="0" xfId="0" applyAlignment="1" applyBorder="1" applyFont="1">
      <alignment horizontal="center" readingOrder="1" shrinkToFit="0" vertical="center" wrapText="1"/>
    </xf>
    <xf borderId="6" fillId="0" fontId="20" numFmtId="0" xfId="0" applyAlignment="1" applyBorder="1" applyFont="1">
      <alignment horizontal="center" readingOrder="1" shrinkToFit="0" vertical="center" wrapText="1"/>
    </xf>
    <xf borderId="6" fillId="5" fontId="16" numFmtId="0" xfId="0" applyAlignment="1" applyBorder="1" applyFill="1" applyFont="1">
      <alignment horizontal="center" vertical="center"/>
    </xf>
    <xf borderId="6" fillId="0" fontId="17" numFmtId="0" xfId="0" applyAlignment="1" applyBorder="1" applyFont="1">
      <alignment horizontal="center" readingOrder="0" vertical="center"/>
    </xf>
    <xf borderId="18" fillId="0" fontId="18" numFmtId="0" xfId="0" applyAlignment="1" applyBorder="1" applyFont="1">
      <alignment horizontal="center" readingOrder="0" vertical="center"/>
    </xf>
    <xf borderId="37" fillId="6" fontId="18" numFmtId="0" xfId="0" applyAlignment="1" applyBorder="1" applyFill="1" applyFont="1">
      <alignment horizontal="center" vertical="center"/>
    </xf>
    <xf borderId="38" fillId="0" fontId="4" numFmtId="0" xfId="0" applyBorder="1" applyFont="1"/>
    <xf borderId="39" fillId="0" fontId="4" numFmtId="0" xfId="0" applyBorder="1" applyFont="1"/>
    <xf borderId="40" fillId="6" fontId="18" numFmtId="0" xfId="0" applyAlignment="1" applyBorder="1" applyFont="1">
      <alignment horizontal="right" vertical="center"/>
    </xf>
    <xf borderId="40" fillId="6" fontId="16" numFmtId="0" xfId="0" applyAlignment="1" applyBorder="1" applyFont="1">
      <alignment horizontal="center" vertical="center"/>
    </xf>
    <xf borderId="40" fillId="6" fontId="18" numFmtId="0" xfId="0" applyAlignment="1" applyBorder="1" applyFont="1">
      <alignment horizontal="center" vertical="center"/>
    </xf>
    <xf borderId="41" fillId="6" fontId="18" numFmtId="0" xfId="0" applyAlignment="1" applyBorder="1" applyFont="1">
      <alignment horizontal="center" vertical="center"/>
    </xf>
    <xf borderId="0" fillId="0" fontId="21" numFmtId="0" xfId="0" applyAlignment="1" applyFont="1">
      <alignment vertical="center"/>
    </xf>
    <xf borderId="19" fillId="7" fontId="22" numFmtId="0" xfId="0" applyAlignment="1" applyBorder="1" applyFill="1" applyFont="1">
      <alignment horizontal="center" vertical="center"/>
    </xf>
    <xf borderId="42" fillId="8" fontId="23" numFmtId="0" xfId="0" applyAlignment="1" applyBorder="1" applyFill="1" applyFont="1">
      <alignment horizontal="left" vertical="center"/>
    </xf>
    <xf borderId="43" fillId="0" fontId="4" numFmtId="0" xfId="0" applyBorder="1" applyFont="1"/>
    <xf borderId="24" fillId="0" fontId="23" numFmtId="0" xfId="0" applyAlignment="1" applyBorder="1" applyFont="1">
      <alignment horizontal="center" vertical="center"/>
    </xf>
    <xf borderId="24" fillId="8" fontId="23" numFmtId="0" xfId="0" applyAlignment="1" applyBorder="1" applyFont="1">
      <alignment horizontal="center" vertical="center"/>
    </xf>
    <xf borderId="24" fillId="8" fontId="24" numFmtId="164" xfId="0" applyAlignment="1" applyBorder="1" applyFont="1" applyNumberFormat="1">
      <alignment horizontal="center" vertical="center"/>
    </xf>
    <xf borderId="44" fillId="8" fontId="23" numFmtId="0" xfId="0" applyAlignment="1" applyBorder="1" applyFont="1">
      <alignment horizontal="left" vertical="center"/>
    </xf>
    <xf borderId="45" fillId="0" fontId="4" numFmtId="0" xfId="0" applyBorder="1" applyFont="1"/>
    <xf borderId="7" fillId="4" fontId="25" numFmtId="0" xfId="0" applyAlignment="1" applyBorder="1" applyFont="1">
      <alignment horizontal="center" vertical="center"/>
    </xf>
    <xf borderId="46" fillId="0" fontId="4" numFmtId="0" xfId="0" applyBorder="1" applyFont="1"/>
    <xf borderId="19" fillId="5" fontId="23" numFmtId="0" xfId="0" applyAlignment="1" applyBorder="1" applyFont="1">
      <alignment horizontal="center" vertical="center"/>
    </xf>
    <xf borderId="47" fillId="5" fontId="23" numFmtId="0" xfId="0" applyAlignment="1" applyBorder="1" applyFont="1">
      <alignment horizontal="center" vertical="center"/>
    </xf>
    <xf borderId="19" fillId="5" fontId="23" numFmtId="164" xfId="0" applyAlignment="1" applyBorder="1" applyFont="1" applyNumberFormat="1">
      <alignment horizontal="center" vertical="center"/>
    </xf>
    <xf borderId="48" fillId="0" fontId="4" numFmtId="0" xfId="0" applyBorder="1" applyFont="1"/>
    <xf borderId="49" fillId="0" fontId="4" numFmtId="0" xfId="0" applyBorder="1" applyFont="1"/>
    <xf borderId="47" fillId="5" fontId="25" numFmtId="0" xfId="0" applyAlignment="1" applyBorder="1" applyFont="1">
      <alignment vertical="center"/>
    </xf>
    <xf borderId="50" fillId="5" fontId="25" numFmtId="0" xfId="0" applyAlignment="1" applyBorder="1" applyFont="1">
      <alignment vertical="center"/>
    </xf>
    <xf borderId="51" fillId="0" fontId="4" numFmtId="0" xfId="0" applyBorder="1" applyFont="1"/>
    <xf borderId="52" fillId="0" fontId="4" numFmtId="0" xfId="0" applyBorder="1" applyFont="1"/>
    <xf borderId="53" fillId="0" fontId="25" numFmtId="164" xfId="0" applyAlignment="1" applyBorder="1" applyFont="1" applyNumberFormat="1">
      <alignment horizontal="center" vertical="center"/>
    </xf>
    <xf borderId="54" fillId="0" fontId="4" numFmtId="0" xfId="0" applyBorder="1" applyFont="1"/>
    <xf borderId="55" fillId="0" fontId="4" numFmtId="0" xfId="0" applyBorder="1" applyFont="1"/>
    <xf borderId="53" fillId="9" fontId="26" numFmtId="0" xfId="0" applyAlignment="1" applyBorder="1" applyFill="1" applyFont="1">
      <alignment horizontal="center" vertical="center"/>
    </xf>
    <xf borderId="53" fillId="9" fontId="25" numFmtId="0" xfId="0" applyAlignment="1" applyBorder="1" applyFont="1">
      <alignment horizontal="center" vertical="center"/>
    </xf>
    <xf borderId="56" fillId="9" fontId="25" numFmtId="164" xfId="0" applyAlignment="1" applyBorder="1" applyFont="1" applyNumberFormat="1">
      <alignment horizontal="center" vertical="center"/>
    </xf>
    <xf borderId="57" fillId="9" fontId="25" numFmtId="164" xfId="0" applyAlignment="1" applyBorder="1" applyFont="1" applyNumberFormat="1">
      <alignment horizontal="center" vertical="center"/>
    </xf>
    <xf borderId="37" fillId="9" fontId="25" numFmtId="164" xfId="0" applyAlignment="1" applyBorder="1" applyFont="1" applyNumberFormat="1">
      <alignment horizontal="center" shrinkToFit="0" vertical="center" wrapText="1"/>
    </xf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62" fillId="0" fontId="4" numFmtId="0" xfId="0" applyBorder="1" applyFont="1"/>
    <xf borderId="63" fillId="0" fontId="4" numFmtId="0" xfId="0" applyBorder="1" applyFont="1"/>
    <xf borderId="64" fillId="9" fontId="25" numFmtId="0" xfId="0" applyAlignment="1" applyBorder="1" applyFont="1">
      <alignment horizontal="center" vertical="center"/>
    </xf>
    <xf borderId="65" fillId="9" fontId="25" numFmtId="0" xfId="0" applyAlignment="1" applyBorder="1" applyFont="1">
      <alignment horizontal="center" vertical="center"/>
    </xf>
    <xf borderId="6" fillId="9" fontId="25" numFmtId="0" xfId="0" applyAlignment="1" applyBorder="1" applyFont="1">
      <alignment horizontal="center" vertical="center"/>
    </xf>
    <xf borderId="66" fillId="9" fontId="25" numFmtId="0" xfId="0" applyAlignment="1" applyBorder="1" applyFont="1">
      <alignment horizontal="center" vertical="center"/>
    </xf>
    <xf borderId="51" fillId="0" fontId="25" numFmtId="0" xfId="0" applyAlignment="1" applyBorder="1" applyFont="1">
      <alignment horizontal="left" vertical="center"/>
    </xf>
    <xf borderId="67" fillId="0" fontId="4" numFmtId="0" xfId="0" applyBorder="1" applyFont="1"/>
    <xf borderId="0" fillId="0" fontId="21" numFmtId="10" xfId="0" applyAlignment="1" applyFont="1" applyNumberFormat="1">
      <alignment vertical="center"/>
    </xf>
    <xf borderId="7" fillId="4" fontId="26" numFmtId="0" xfId="0" applyAlignment="1" applyBorder="1" applyFont="1">
      <alignment horizontal="center" vertical="center"/>
    </xf>
    <xf borderId="7" fillId="0" fontId="27" numFmtId="0" xfId="0" applyAlignment="1" applyBorder="1" applyFont="1">
      <alignment horizontal="center" vertical="center"/>
    </xf>
    <xf borderId="68" fillId="10" fontId="27" numFmtId="10" xfId="0" applyAlignment="1" applyBorder="1" applyFill="1" applyFont="1" applyNumberFormat="1">
      <alignment horizontal="center" vertical="center"/>
    </xf>
    <xf borderId="29" fillId="0" fontId="27" numFmtId="10" xfId="0" applyAlignment="1" applyBorder="1" applyFont="1" applyNumberFormat="1">
      <alignment horizontal="center" vertical="center"/>
    </xf>
    <xf borderId="6" fillId="0" fontId="27" numFmtId="10" xfId="0" applyAlignment="1" applyBorder="1" applyFont="1" applyNumberFormat="1">
      <alignment horizontal="center" vertical="center"/>
    </xf>
    <xf borderId="8" fillId="0" fontId="27" numFmtId="10" xfId="0" applyAlignment="1" applyBorder="1" applyFont="1" applyNumberFormat="1">
      <alignment horizontal="center" vertical="center"/>
    </xf>
    <xf quotePrefix="1" borderId="44" fillId="0" fontId="27" numFmtId="10" xfId="0" applyAlignment="1" applyBorder="1" applyFont="1" applyNumberFormat="1">
      <alignment horizontal="left" shrinkToFit="0" vertical="center" wrapText="1"/>
    </xf>
    <xf borderId="69" fillId="0" fontId="4" numFmtId="0" xfId="0" applyBorder="1" applyFont="1"/>
    <xf borderId="0" fillId="0" fontId="21" numFmtId="165" xfId="0" applyAlignment="1" applyFont="1" applyNumberFormat="1">
      <alignment vertical="center"/>
    </xf>
    <xf borderId="17" fillId="4" fontId="23" numFmtId="0" xfId="0" applyAlignment="1" applyBorder="1" applyFont="1">
      <alignment horizontal="center" vertical="center"/>
    </xf>
    <xf borderId="17" fillId="0" fontId="26" numFmtId="0" xfId="0" applyAlignment="1" applyBorder="1" applyFont="1">
      <alignment horizontal="center" vertical="center"/>
    </xf>
    <xf borderId="0" fillId="0" fontId="21" numFmtId="166" xfId="0" applyAlignment="1" applyFont="1" applyNumberFormat="1">
      <alignment vertical="center"/>
    </xf>
    <xf borderId="70" fillId="0" fontId="4" numFmtId="0" xfId="0" applyBorder="1" applyFont="1"/>
    <xf borderId="11" fillId="0" fontId="4" numFmtId="0" xfId="0" applyBorder="1" applyFont="1"/>
    <xf borderId="71" fillId="0" fontId="4" numFmtId="0" xfId="0" applyBorder="1" applyFont="1"/>
    <xf borderId="72" fillId="11" fontId="28" numFmtId="0" xfId="0" applyAlignment="1" applyBorder="1" applyFill="1" applyFont="1">
      <alignment horizontal="center" vertical="center"/>
    </xf>
    <xf borderId="72" fillId="11" fontId="23" numFmtId="0" xfId="0" applyAlignment="1" applyBorder="1" applyFont="1">
      <alignment horizontal="center" vertical="center"/>
    </xf>
    <xf borderId="73" fillId="0" fontId="4" numFmtId="0" xfId="0" applyBorder="1" applyFont="1"/>
    <xf borderId="74" fillId="11" fontId="23" numFmtId="10" xfId="0" applyAlignment="1" applyBorder="1" applyFont="1" applyNumberFormat="1">
      <alignment horizontal="center" vertical="center"/>
    </xf>
    <xf borderId="75" fillId="11" fontId="23" numFmtId="10" xfId="0" applyAlignment="1" applyBorder="1" applyFont="1" applyNumberFormat="1">
      <alignment horizontal="center" vertical="center"/>
    </xf>
    <xf borderId="40" fillId="11" fontId="23" numFmtId="10" xfId="0" applyAlignment="1" applyBorder="1" applyFont="1" applyNumberFormat="1">
      <alignment horizontal="center" vertical="center"/>
    </xf>
    <xf borderId="40" fillId="11" fontId="27" numFmtId="10" xfId="0" applyAlignment="1" applyBorder="1" applyFont="1" applyNumberFormat="1">
      <alignment horizontal="center" vertical="center"/>
    </xf>
    <xf borderId="41" fillId="11" fontId="23" numFmtId="10" xfId="0" applyAlignment="1" applyBorder="1" applyFont="1" applyNumberForma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0" fillId="0" fontId="11" numFmtId="0" xfId="0" applyAlignment="1" applyFont="1">
      <alignment vertical="center"/>
    </xf>
    <xf borderId="0" fillId="0" fontId="11" numFmtId="0" xfId="0" applyAlignment="1" applyFont="1">
      <alignment horizontal="left" vertical="center"/>
    </xf>
    <xf borderId="0" fillId="0" fontId="11" numFmtId="164" xfId="0" applyAlignment="1" applyFont="1" applyNumberForma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0" fillId="0" fontId="11" numFmtId="9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29" numFmtId="0" xfId="0" applyAlignment="1" applyFont="1">
      <alignment vertical="center"/>
    </xf>
    <xf borderId="0" fillId="0" fontId="13" numFmtId="0" xfId="0" applyAlignment="1" applyFont="1">
      <alignment horizontal="left" vertical="center"/>
    </xf>
    <xf borderId="42" fillId="4" fontId="13" numFmtId="164" xfId="0" applyAlignment="1" applyBorder="1" applyFont="1" applyNumberFormat="1">
      <alignment horizontal="center" vertical="center"/>
    </xf>
    <xf borderId="24" fillId="11" fontId="13" numFmtId="10" xfId="0" applyAlignment="1" applyBorder="1" applyFont="1" applyNumberFormat="1">
      <alignment horizontal="center" vertical="center"/>
    </xf>
    <xf borderId="24" fillId="9" fontId="13" numFmtId="0" xfId="0" applyAlignment="1" applyBorder="1" applyFont="1">
      <alignment horizontal="center" vertical="center"/>
    </xf>
    <xf borderId="0" fillId="0" fontId="13" numFmtId="10" xfId="0" applyAlignment="1" applyFont="1" applyNumberFormat="1">
      <alignment vertical="center"/>
    </xf>
    <xf borderId="76" fillId="4" fontId="13" numFmtId="0" xfId="0" applyAlignment="1" applyBorder="1" applyFont="1">
      <alignment horizontal="center" vertical="center"/>
    </xf>
    <xf borderId="77" fillId="0" fontId="4" numFmtId="0" xfId="0" applyBorder="1" applyFont="1"/>
    <xf borderId="78" fillId="0" fontId="4" numFmtId="0" xfId="0" applyBorder="1" applyFont="1"/>
    <xf borderId="79" fillId="9" fontId="13" numFmtId="0" xfId="0" applyAlignment="1" applyBorder="1" applyFont="1">
      <alignment horizontal="center" vertical="center"/>
    </xf>
    <xf borderId="80" fillId="0" fontId="4" numFmtId="0" xfId="0" applyBorder="1" applyFont="1"/>
    <xf borderId="47" fillId="5" fontId="13" numFmtId="0" xfId="0" applyAlignment="1" applyBorder="1" applyFont="1">
      <alignment horizontal="center" vertical="center"/>
    </xf>
    <xf borderId="22" fillId="2" fontId="13" numFmtId="0" xfId="0" applyAlignment="1" applyBorder="1" applyFont="1">
      <alignment horizontal="center" vertical="center"/>
    </xf>
    <xf borderId="23" fillId="2" fontId="13" numFmtId="0" xfId="0" applyAlignment="1" applyBorder="1" applyFont="1">
      <alignment horizontal="center" vertical="center"/>
    </xf>
    <xf borderId="24" fillId="2" fontId="13" numFmtId="0" xfId="0" applyAlignment="1" applyBorder="1" applyFont="1">
      <alignment horizontal="center" vertical="center"/>
    </xf>
    <xf borderId="23" fillId="2" fontId="13" numFmtId="0" xfId="0" applyAlignment="1" applyBorder="1" applyFont="1">
      <alignment horizontal="center" shrinkToFit="0" vertical="center" wrapText="1"/>
    </xf>
    <xf borderId="23" fillId="2" fontId="13" numFmtId="167" xfId="0" applyAlignment="1" applyBorder="1" applyFont="1" applyNumberFormat="1">
      <alignment horizontal="center" vertical="center"/>
    </xf>
    <xf borderId="23" fillId="2" fontId="13" numFmtId="9" xfId="0" applyAlignment="1" applyBorder="1" applyFont="1" applyNumberFormat="1">
      <alignment horizontal="center" shrinkToFit="0" vertical="center" wrapText="1"/>
    </xf>
    <xf borderId="23" fillId="2" fontId="13" numFmtId="9" xfId="0" applyAlignment="1" applyBorder="1" applyFont="1" applyNumberFormat="1">
      <alignment horizontal="center" vertical="center"/>
    </xf>
    <xf borderId="81" fillId="2" fontId="13" numFmtId="9" xfId="0" applyAlignment="1" applyBorder="1" applyFont="1" applyNumberFormat="1">
      <alignment horizontal="center" vertical="center"/>
    </xf>
    <xf borderId="34" fillId="0" fontId="4" numFmtId="0" xfId="0" applyBorder="1" applyFont="1"/>
    <xf borderId="6" fillId="2" fontId="13" numFmtId="0" xfId="0" applyAlignment="1" applyBorder="1" applyFont="1">
      <alignment horizontal="center" vertical="center"/>
    </xf>
    <xf borderId="35" fillId="0" fontId="4" numFmtId="0" xfId="0" applyBorder="1" applyFont="1"/>
    <xf borderId="47" fillId="5" fontId="13" numFmtId="0" xfId="0" applyAlignment="1" applyBorder="1" applyFont="1">
      <alignment vertical="center"/>
    </xf>
    <xf borderId="82" fillId="12" fontId="13" numFmtId="0" xfId="0" applyAlignment="1" applyBorder="1" applyFill="1" applyFont="1">
      <alignment vertical="center"/>
    </xf>
    <xf borderId="83" fillId="12" fontId="13" numFmtId="0" xfId="0" applyAlignment="1" applyBorder="1" applyFont="1">
      <alignment vertical="center"/>
    </xf>
    <xf borderId="83" fillId="12" fontId="13" numFmtId="0" xfId="0" applyAlignment="1" applyBorder="1" applyFont="1">
      <alignment horizontal="center" vertical="center"/>
    </xf>
    <xf borderId="83" fillId="11" fontId="13" numFmtId="168" xfId="0" applyAlignment="1" applyBorder="1" applyFont="1" applyNumberFormat="1">
      <alignment horizontal="center" vertical="center"/>
    </xf>
    <xf borderId="84" fillId="12" fontId="13" numFmtId="164" xfId="0" applyAlignment="1" applyBorder="1" applyFont="1" applyNumberFormat="1">
      <alignment horizontal="center" vertical="center"/>
    </xf>
    <xf borderId="83" fillId="12" fontId="13" numFmtId="164" xfId="0" applyAlignment="1" applyBorder="1" applyFont="1" applyNumberFormat="1">
      <alignment horizontal="center" vertical="center"/>
    </xf>
    <xf borderId="83" fillId="12" fontId="13" numFmtId="167" xfId="0" applyAlignment="1" applyBorder="1" applyFont="1" applyNumberFormat="1">
      <alignment horizontal="center" vertical="center"/>
    </xf>
    <xf borderId="85" fillId="11" fontId="13" numFmtId="10" xfId="0" applyAlignment="1" applyBorder="1" applyFont="1" applyNumberFormat="1">
      <alignment horizontal="center" vertical="center"/>
    </xf>
    <xf borderId="84" fillId="12" fontId="13" numFmtId="0" xfId="0" applyAlignment="1" applyBorder="1" applyFont="1">
      <alignment horizontal="center" vertical="center"/>
    </xf>
    <xf borderId="83" fillId="11" fontId="13" numFmtId="10" xfId="0" applyAlignment="1" applyBorder="1" applyFont="1" applyNumberFormat="1">
      <alignment horizontal="center" vertical="center"/>
    </xf>
    <xf borderId="86" fillId="12" fontId="13" numFmtId="164" xfId="0" applyAlignment="1" applyBorder="1" applyFont="1" applyNumberFormat="1">
      <alignment horizontal="center" vertical="center"/>
    </xf>
    <xf borderId="87" fillId="0" fontId="11" numFmtId="0" xfId="0" applyAlignment="1" applyBorder="1" applyFont="1">
      <alignment vertical="center"/>
    </xf>
    <xf borderId="88" fillId="13" fontId="13" numFmtId="0" xfId="0" applyAlignment="1" applyBorder="1" applyFill="1" applyFont="1">
      <alignment vertical="center"/>
    </xf>
    <xf borderId="88" fillId="13" fontId="11" numFmtId="0" xfId="0" applyAlignment="1" applyBorder="1" applyFont="1">
      <alignment vertical="center"/>
    </xf>
    <xf borderId="88" fillId="13" fontId="11" numFmtId="0" xfId="0" applyAlignment="1" applyBorder="1" applyFont="1">
      <alignment horizontal="center" vertical="center"/>
    </xf>
    <xf borderId="89" fillId="13" fontId="13" numFmtId="164" xfId="0" applyAlignment="1" applyBorder="1" applyFont="1" applyNumberFormat="1">
      <alignment horizontal="center" vertical="center"/>
    </xf>
    <xf borderId="88" fillId="13" fontId="13" numFmtId="164" xfId="0" applyAlignment="1" applyBorder="1" applyFont="1" applyNumberFormat="1">
      <alignment horizontal="center" vertical="center"/>
    </xf>
    <xf borderId="88" fillId="13" fontId="13" numFmtId="167" xfId="0" applyAlignment="1" applyBorder="1" applyFont="1" applyNumberFormat="1">
      <alignment horizontal="center" vertical="center"/>
    </xf>
    <xf borderId="90" fillId="13" fontId="13" numFmtId="10" xfId="0" applyAlignment="1" applyBorder="1" applyFont="1" applyNumberFormat="1">
      <alignment horizontal="center" vertical="center"/>
    </xf>
    <xf borderId="89" fillId="13" fontId="13" numFmtId="0" xfId="0" applyAlignment="1" applyBorder="1" applyFont="1">
      <alignment horizontal="center" vertical="center"/>
    </xf>
    <xf borderId="88" fillId="13" fontId="13" numFmtId="10" xfId="0" applyAlignment="1" applyBorder="1" applyFont="1" applyNumberFormat="1">
      <alignment horizontal="center" vertical="center"/>
    </xf>
    <xf borderId="91" fillId="13" fontId="13" numFmtId="164" xfId="0" applyAlignment="1" applyBorder="1" applyFont="1" applyNumberFormat="1">
      <alignment horizontal="center" vertical="center"/>
    </xf>
    <xf borderId="47" fillId="5" fontId="30" numFmtId="10" xfId="0" applyAlignment="1" applyBorder="1" applyFont="1" applyNumberFormat="1">
      <alignment vertical="center"/>
    </xf>
    <xf borderId="88" fillId="0" fontId="11" numFmtId="0" xfId="0" applyAlignment="1" applyBorder="1" applyFont="1">
      <alignment vertical="center"/>
    </xf>
    <xf borderId="88" fillId="10" fontId="11" numFmtId="0" xfId="0" applyAlignment="1" applyBorder="1" applyFont="1">
      <alignment vertical="center"/>
    </xf>
    <xf borderId="88" fillId="10" fontId="11" numFmtId="0" xfId="0" applyAlignment="1" applyBorder="1" applyFont="1">
      <alignment horizontal="center" vertical="center"/>
    </xf>
    <xf borderId="89" fillId="10" fontId="11" numFmtId="164" xfId="0" applyAlignment="1" applyBorder="1" applyFont="1" applyNumberFormat="1">
      <alignment horizontal="center" vertical="center"/>
    </xf>
    <xf borderId="88" fillId="10" fontId="11" numFmtId="164" xfId="0" applyAlignment="1" applyBorder="1" applyFont="1" applyNumberFormat="1">
      <alignment horizontal="center" vertical="center"/>
    </xf>
    <xf borderId="88" fillId="10" fontId="11" numFmtId="167" xfId="0" applyAlignment="1" applyBorder="1" applyFont="1" applyNumberFormat="1">
      <alignment horizontal="center" vertical="center"/>
    </xf>
    <xf borderId="90" fillId="10" fontId="11" numFmtId="9" xfId="0" applyAlignment="1" applyBorder="1" applyFont="1" applyNumberFormat="1">
      <alignment horizontal="center" vertical="center"/>
    </xf>
    <xf borderId="89" fillId="10" fontId="11" numFmtId="0" xfId="0" applyAlignment="1" applyBorder="1" applyFont="1">
      <alignment horizontal="center" vertical="center"/>
    </xf>
    <xf borderId="88" fillId="10" fontId="11" numFmtId="9" xfId="0" applyAlignment="1" applyBorder="1" applyFont="1" applyNumberFormat="1">
      <alignment horizontal="center" vertical="center"/>
    </xf>
    <xf borderId="91" fillId="10" fontId="11" numFmtId="164" xfId="0" applyAlignment="1" applyBorder="1" applyFont="1" applyNumberFormat="1">
      <alignment horizontal="center" vertical="center"/>
    </xf>
    <xf borderId="88" fillId="0" fontId="11" numFmtId="0" xfId="0" applyAlignment="1" applyBorder="1" applyFont="1">
      <alignment shrinkToFit="0" vertical="center" wrapText="1"/>
    </xf>
    <xf borderId="88" fillId="0" fontId="11" numFmtId="0" xfId="0" applyAlignment="1" applyBorder="1" applyFont="1">
      <alignment horizontal="center" shrinkToFit="0" vertical="center" wrapText="1"/>
    </xf>
    <xf borderId="88" fillId="0" fontId="11" numFmtId="169" xfId="0" applyAlignment="1" applyBorder="1" applyFont="1" applyNumberFormat="1">
      <alignment horizontal="center" shrinkToFit="0" vertical="center" wrapText="1"/>
    </xf>
    <xf borderId="89" fillId="14" fontId="11" numFmtId="164" xfId="0" applyAlignment="1" applyBorder="1" applyFill="1" applyFont="1" applyNumberFormat="1">
      <alignment horizontal="center" vertical="center"/>
    </xf>
    <xf borderId="88" fillId="14" fontId="11" numFmtId="164" xfId="0" applyAlignment="1" applyBorder="1" applyFont="1" applyNumberFormat="1">
      <alignment horizontal="center" vertical="center"/>
    </xf>
    <xf borderId="88" fillId="0" fontId="11" numFmtId="167" xfId="0" applyAlignment="1" applyBorder="1" applyFont="1" applyNumberFormat="1">
      <alignment horizontal="center" vertical="center"/>
    </xf>
    <xf borderId="90" fillId="0" fontId="11" numFmtId="9" xfId="0" applyAlignment="1" applyBorder="1" applyFont="1" applyNumberFormat="1">
      <alignment horizontal="center" vertical="center"/>
    </xf>
    <xf borderId="89" fillId="0" fontId="11" numFmtId="0" xfId="0" applyAlignment="1" applyBorder="1" applyFont="1">
      <alignment horizontal="center" vertical="center"/>
    </xf>
    <xf borderId="88" fillId="0" fontId="11" numFmtId="9" xfId="0" applyAlignment="1" applyBorder="1" applyFont="1" applyNumberFormat="1">
      <alignment horizontal="center" vertical="center"/>
    </xf>
    <xf borderId="92" fillId="14" fontId="11" numFmtId="164" xfId="0" applyAlignment="1" applyBorder="1" applyFont="1" applyNumberFormat="1">
      <alignment horizontal="center" vertical="center"/>
    </xf>
    <xf borderId="91" fillId="5" fontId="11" numFmtId="164" xfId="0" applyAlignment="1" applyBorder="1" applyFont="1" applyNumberFormat="1">
      <alignment horizontal="center" vertical="center"/>
    </xf>
    <xf borderId="88" fillId="5" fontId="11" numFmtId="0" xfId="0" applyAlignment="1" applyBorder="1" applyFont="1">
      <alignment horizontal="center" vertical="center"/>
    </xf>
    <xf borderId="93" fillId="0" fontId="11" numFmtId="0" xfId="0" applyAlignment="1" applyBorder="1" applyFont="1">
      <alignment vertical="center"/>
    </xf>
    <xf borderId="94" fillId="14" fontId="11" numFmtId="164" xfId="0" applyAlignment="1" applyBorder="1" applyFont="1" applyNumberFormat="1">
      <alignment horizontal="center" vertical="center"/>
    </xf>
    <xf borderId="88" fillId="10" fontId="11" numFmtId="0" xfId="0" applyAlignment="1" applyBorder="1" applyFont="1">
      <alignment shrinkToFit="0" vertical="center" wrapText="1"/>
    </xf>
    <xf borderId="90" fillId="13" fontId="11" numFmtId="0" xfId="0" applyAlignment="1" applyBorder="1" applyFont="1">
      <alignment horizontal="center" vertical="center"/>
    </xf>
    <xf borderId="94" fillId="13" fontId="13" numFmtId="164" xfId="0" applyAlignment="1" applyBorder="1" applyFont="1" applyNumberFormat="1">
      <alignment horizontal="center" vertical="center"/>
    </xf>
    <xf borderId="90" fillId="10" fontId="11" numFmtId="0" xfId="0" applyAlignment="1" applyBorder="1" applyFont="1">
      <alignment horizontal="center" vertical="center"/>
    </xf>
    <xf borderId="94" fillId="10" fontId="11" numFmtId="164" xfId="0" applyAlignment="1" applyBorder="1" applyFont="1" applyNumberFormat="1">
      <alignment horizontal="center" vertical="center"/>
    </xf>
    <xf borderId="90" fillId="0" fontId="11" numFmtId="169" xfId="0" applyAlignment="1" applyBorder="1" applyFont="1" applyNumberFormat="1">
      <alignment horizontal="center" shrinkToFit="0" vertical="center" wrapText="1"/>
    </xf>
    <xf borderId="95" fillId="14" fontId="11" numFmtId="164" xfId="0" applyAlignment="1" applyBorder="1" applyFont="1" applyNumberFormat="1">
      <alignment horizontal="center" vertical="center"/>
    </xf>
    <xf borderId="96" fillId="0" fontId="11" numFmtId="164" xfId="0" applyAlignment="1" applyBorder="1" applyFont="1" applyNumberFormat="1">
      <alignment horizontal="center" vertical="center"/>
    </xf>
    <xf borderId="97" fillId="0" fontId="11" numFmtId="164" xfId="0" applyAlignment="1" applyBorder="1" applyFont="1" applyNumberFormat="1">
      <alignment horizontal="center" vertical="center"/>
    </xf>
    <xf borderId="91" fillId="0" fontId="11" numFmtId="164" xfId="0" applyAlignment="1" applyBorder="1" applyFont="1" applyNumberFormat="1">
      <alignment horizontal="center" vertical="center"/>
    </xf>
    <xf borderId="0" fillId="0" fontId="31" numFmtId="0" xfId="0" applyAlignment="1" applyFont="1">
      <alignment vertical="center"/>
    </xf>
    <xf borderId="87" fillId="0" fontId="32" numFmtId="0" xfId="0" applyAlignment="1" applyBorder="1" applyFont="1">
      <alignment vertical="center"/>
    </xf>
    <xf borderId="91" fillId="14" fontId="11" numFmtId="164" xfId="0" applyAlignment="1" applyBorder="1" applyFont="1" applyNumberFormat="1">
      <alignment horizontal="center" vertical="center"/>
    </xf>
    <xf borderId="47" fillId="5" fontId="11" numFmtId="0" xfId="0" applyAlignment="1" applyBorder="1" applyFont="1">
      <alignment vertical="center"/>
    </xf>
    <xf borderId="98" fillId="5" fontId="11" numFmtId="0" xfId="0" applyAlignment="1" applyBorder="1" applyFont="1">
      <alignment vertical="center"/>
    </xf>
    <xf borderId="99" fillId="5" fontId="11" numFmtId="0" xfId="0" applyAlignment="1" applyBorder="1" applyFont="1">
      <alignment vertical="center"/>
    </xf>
    <xf borderId="99" fillId="5" fontId="11" numFmtId="0" xfId="0" applyAlignment="1" applyBorder="1" applyFont="1">
      <alignment horizontal="center" vertical="center"/>
    </xf>
    <xf borderId="100" fillId="5" fontId="11" numFmtId="164" xfId="0" applyAlignment="1" applyBorder="1" applyFont="1" applyNumberFormat="1">
      <alignment horizontal="center" vertical="center"/>
    </xf>
    <xf borderId="99" fillId="5" fontId="11" numFmtId="164" xfId="0" applyAlignment="1" applyBorder="1" applyFont="1" applyNumberFormat="1">
      <alignment horizontal="center" vertical="center"/>
    </xf>
    <xf borderId="99" fillId="5" fontId="11" numFmtId="167" xfId="0" applyAlignment="1" applyBorder="1" applyFont="1" applyNumberFormat="1">
      <alignment horizontal="center" vertical="center"/>
    </xf>
    <xf borderId="101" fillId="14" fontId="11" numFmtId="9" xfId="0" applyAlignment="1" applyBorder="1" applyFont="1" applyNumberFormat="1">
      <alignment horizontal="center" vertical="center"/>
    </xf>
    <xf borderId="102" fillId="0" fontId="11" numFmtId="0" xfId="0" applyAlignment="1" applyBorder="1" applyFont="1">
      <alignment horizontal="center" vertical="center"/>
    </xf>
    <xf borderId="103" fillId="0" fontId="11" numFmtId="9" xfId="0" applyAlignment="1" applyBorder="1" applyFont="1" applyNumberFormat="1">
      <alignment horizontal="center" vertical="center"/>
    </xf>
    <xf borderId="103" fillId="0" fontId="11" numFmtId="164" xfId="0" applyAlignment="1" applyBorder="1" applyFont="1" applyNumberFormat="1">
      <alignment horizontal="center" vertical="center"/>
    </xf>
    <xf borderId="104" fillId="0" fontId="11" numFmtId="164" xfId="0" applyAlignment="1" applyBorder="1" applyFont="1" applyNumberFormat="1">
      <alignment horizontal="center" vertical="center"/>
    </xf>
    <xf borderId="37" fillId="4" fontId="13" numFmtId="0" xfId="0" applyAlignment="1" applyBorder="1" applyFont="1">
      <alignment horizontal="center" vertical="center"/>
    </xf>
    <xf borderId="72" fillId="9" fontId="13" numFmtId="0" xfId="0" applyAlignment="1" applyBorder="1" applyFont="1">
      <alignment horizontal="center" vertical="center"/>
    </xf>
    <xf borderId="105" fillId="2" fontId="13" numFmtId="167" xfId="0" applyAlignment="1" applyBorder="1" applyFont="1" applyNumberFormat="1">
      <alignment horizontal="center" vertical="center"/>
    </xf>
    <xf borderId="106" fillId="0" fontId="4" numFmtId="0" xfId="0" applyBorder="1" applyFont="1"/>
    <xf borderId="85" fillId="11" fontId="13" numFmtId="168" xfId="0" applyAlignment="1" applyBorder="1" applyFont="1" applyNumberFormat="1">
      <alignment horizontal="center" vertical="center"/>
    </xf>
    <xf borderId="92" fillId="12" fontId="13" numFmtId="164" xfId="0" applyAlignment="1" applyBorder="1" applyFont="1" applyNumberFormat="1">
      <alignment horizontal="center" vertical="center"/>
    </xf>
    <xf borderId="90" fillId="5" fontId="11" numFmtId="0" xfId="0" applyAlignment="1" applyBorder="1" applyFont="1">
      <alignment horizontal="center" vertical="center"/>
    </xf>
    <xf borderId="88" fillId="0" fontId="33" numFmtId="0" xfId="0" applyAlignment="1" applyBorder="1" applyFont="1">
      <alignment vertical="center"/>
    </xf>
    <xf borderId="90" fillId="0" fontId="11" numFmtId="0" xfId="0" applyAlignment="1" applyBorder="1" applyFont="1">
      <alignment horizontal="center" shrinkToFit="0" vertical="center" wrapText="1"/>
    </xf>
    <xf borderId="88" fillId="0" fontId="13" numFmtId="0" xfId="0" applyAlignment="1" applyBorder="1" applyFont="1">
      <alignment vertical="center"/>
    </xf>
    <xf borderId="94" fillId="10" fontId="13" numFmtId="164" xfId="0" applyAlignment="1" applyBorder="1" applyFont="1" applyNumberFormat="1">
      <alignment horizontal="center" vertical="center"/>
    </xf>
    <xf borderId="88" fillId="10" fontId="13" numFmtId="164" xfId="0" applyAlignment="1" applyBorder="1" applyFont="1" applyNumberFormat="1">
      <alignment horizontal="center" vertical="center"/>
    </xf>
    <xf borderId="88" fillId="10" fontId="13" numFmtId="167" xfId="0" applyAlignment="1" applyBorder="1" applyFont="1" applyNumberFormat="1">
      <alignment horizontal="center" vertical="center"/>
    </xf>
    <xf borderId="90" fillId="10" fontId="13" numFmtId="10" xfId="0" applyAlignment="1" applyBorder="1" applyFont="1" applyNumberFormat="1">
      <alignment horizontal="center" vertical="center"/>
    </xf>
    <xf borderId="89" fillId="10" fontId="13" numFmtId="0" xfId="0" applyAlignment="1" applyBorder="1" applyFont="1">
      <alignment horizontal="center" vertical="center"/>
    </xf>
    <xf borderId="88" fillId="10" fontId="13" numFmtId="10" xfId="0" applyAlignment="1" applyBorder="1" applyFont="1" applyNumberFormat="1">
      <alignment horizontal="center" vertical="center"/>
    </xf>
    <xf borderId="91" fillId="10" fontId="13" numFmtId="164" xfId="0" applyAlignment="1" applyBorder="1" applyFont="1" applyNumberFormat="1">
      <alignment horizontal="center" vertical="center"/>
    </xf>
    <xf borderId="90" fillId="0" fontId="11" numFmtId="0" xfId="0" applyAlignment="1" applyBorder="1" applyFont="1">
      <alignment horizontal="center" vertical="center"/>
    </xf>
    <xf borderId="90" fillId="0" fontId="33" numFmtId="0" xfId="0" applyAlignment="1" applyBorder="1" applyFont="1">
      <alignment horizontal="center" vertical="center"/>
    </xf>
    <xf borderId="88" fillId="0" fontId="11" numFmtId="164" xfId="0" applyAlignment="1" applyBorder="1" applyFont="1" applyNumberFormat="1">
      <alignment horizontal="center" vertical="center"/>
    </xf>
    <xf borderId="101" fillId="5" fontId="11" numFmtId="0" xfId="0" applyAlignment="1" applyBorder="1" applyFont="1">
      <alignment horizontal="center" vertical="center"/>
    </xf>
    <xf borderId="107" fillId="5" fontId="11" numFmtId="164" xfId="0" applyAlignment="1" applyBorder="1" applyFont="1" applyNumberFormat="1">
      <alignment horizontal="center" vertical="center"/>
    </xf>
    <xf borderId="88" fillId="0" fontId="11" numFmtId="0" xfId="0" applyAlignment="1" applyBorder="1" applyFont="1">
      <alignment horizontal="center" vertical="center"/>
    </xf>
    <xf borderId="88" fillId="15" fontId="11" numFmtId="0" xfId="0" applyAlignment="1" applyBorder="1" applyFill="1" applyFont="1">
      <alignment vertical="center"/>
    </xf>
    <xf borderId="88" fillId="15" fontId="11" numFmtId="0" xfId="0" applyAlignment="1" applyBorder="1" applyFont="1">
      <alignment shrinkToFit="0" vertical="center" wrapText="1"/>
    </xf>
    <xf borderId="88" fillId="15" fontId="11" numFmtId="0" xfId="0" applyAlignment="1" applyBorder="1" applyFont="1">
      <alignment horizontal="center" vertical="center"/>
    </xf>
    <xf borderId="90" fillId="15" fontId="11" numFmtId="0" xfId="0" applyAlignment="1" applyBorder="1" applyFont="1">
      <alignment horizontal="center" vertical="center"/>
    </xf>
    <xf borderId="94" fillId="15" fontId="11" numFmtId="164" xfId="0" applyAlignment="1" applyBorder="1" applyFont="1" applyNumberFormat="1">
      <alignment horizontal="center" vertical="center"/>
    </xf>
    <xf borderId="88" fillId="15" fontId="11" numFmtId="164" xfId="0" applyAlignment="1" applyBorder="1" applyFont="1" applyNumberFormat="1">
      <alignment horizontal="center" vertical="center"/>
    </xf>
    <xf borderId="88" fillId="15" fontId="11" numFmtId="167" xfId="0" applyAlignment="1" applyBorder="1" applyFont="1" applyNumberFormat="1">
      <alignment horizontal="center" vertical="center"/>
    </xf>
    <xf borderId="89" fillId="15" fontId="11" numFmtId="0" xfId="0" applyAlignment="1" applyBorder="1" applyFont="1">
      <alignment horizontal="center" vertical="center"/>
    </xf>
    <xf borderId="88" fillId="15" fontId="11" numFmtId="9" xfId="0" applyAlignment="1" applyBorder="1" applyFont="1" applyNumberFormat="1">
      <alignment horizontal="center" vertical="center"/>
    </xf>
    <xf borderId="91" fillId="15" fontId="11" numFmtId="164" xfId="0" applyAlignment="1" applyBorder="1" applyFont="1" applyNumberFormat="1">
      <alignment horizontal="center" vertical="center"/>
    </xf>
    <xf borderId="88" fillId="0" fontId="11" numFmtId="0" xfId="0" applyAlignment="1" applyBorder="1" applyFont="1">
      <alignment horizontal="left" vertical="center"/>
    </xf>
    <xf borderId="94" fillId="14" fontId="32" numFmtId="164" xfId="0" applyAlignment="1" applyBorder="1" applyFont="1" applyNumberFormat="1">
      <alignment horizontal="center" vertical="center"/>
    </xf>
    <xf borderId="88" fillId="0" fontId="32" numFmtId="167" xfId="0" applyAlignment="1" applyBorder="1" applyFont="1" applyNumberFormat="1">
      <alignment horizontal="center" vertical="center"/>
    </xf>
    <xf borderId="90" fillId="0" fontId="32" numFmtId="9" xfId="0" applyAlignment="1" applyBorder="1" applyFont="1" applyNumberFormat="1">
      <alignment horizontal="center" vertical="center"/>
    </xf>
    <xf borderId="89" fillId="0" fontId="32" numFmtId="0" xfId="0" applyAlignment="1" applyBorder="1" applyFont="1">
      <alignment horizontal="center" vertical="center"/>
    </xf>
    <xf borderId="88" fillId="0" fontId="32" numFmtId="9" xfId="0" applyAlignment="1" applyBorder="1" applyFont="1" applyNumberFormat="1">
      <alignment horizontal="center" vertical="center"/>
    </xf>
    <xf borderId="0" fillId="0" fontId="16" numFmtId="0" xfId="0" applyFont="1"/>
    <xf borderId="108" fillId="0" fontId="11" numFmtId="0" xfId="0" applyAlignment="1" applyBorder="1" applyFont="1">
      <alignment vertical="center"/>
    </xf>
    <xf borderId="83" fillId="10" fontId="11" numFmtId="0" xfId="0" applyAlignment="1" applyBorder="1" applyFont="1">
      <alignment vertical="center"/>
    </xf>
    <xf borderId="88" fillId="0" fontId="32" numFmtId="0" xfId="0" applyAlignment="1" applyBorder="1" applyFont="1">
      <alignment vertical="center"/>
    </xf>
    <xf borderId="88" fillId="0" fontId="11" numFmtId="164" xfId="0" applyAlignment="1" applyBorder="1" applyFont="1" applyNumberFormat="1">
      <alignment horizontal="center" readingOrder="0" vertical="center"/>
    </xf>
    <xf borderId="109" fillId="0" fontId="11" numFmtId="0" xfId="0" applyAlignment="1" applyBorder="1" applyFont="1">
      <alignment vertical="center"/>
    </xf>
    <xf borderId="110" fillId="0" fontId="11" numFmtId="0" xfId="0" applyAlignment="1" applyBorder="1" applyFont="1">
      <alignment vertical="center"/>
    </xf>
    <xf borderId="110" fillId="0" fontId="11" numFmtId="0" xfId="0" applyAlignment="1" applyBorder="1" applyFont="1">
      <alignment horizontal="left" vertical="center"/>
    </xf>
    <xf borderId="110" fillId="0" fontId="11" numFmtId="0" xfId="0" applyAlignment="1" applyBorder="1" applyFont="1">
      <alignment shrinkToFit="0" vertical="center" wrapText="1"/>
    </xf>
    <xf borderId="110" fillId="0" fontId="11" numFmtId="0" xfId="0" applyAlignment="1" applyBorder="1" applyFont="1">
      <alignment horizontal="center" vertical="center"/>
    </xf>
    <xf borderId="111" fillId="0" fontId="11" numFmtId="0" xfId="0" applyAlignment="1" applyBorder="1" applyFont="1">
      <alignment horizontal="center" vertical="center"/>
    </xf>
    <xf borderId="112" fillId="0" fontId="11" numFmtId="164" xfId="0" applyAlignment="1" applyBorder="1" applyFont="1" applyNumberFormat="1">
      <alignment horizontal="center" readingOrder="0" vertical="center"/>
    </xf>
    <xf borderId="110" fillId="0" fontId="11" numFmtId="164" xfId="0" applyAlignment="1" applyBorder="1" applyFont="1" applyNumberFormat="1">
      <alignment horizontal="center" readingOrder="0" vertical="center"/>
    </xf>
    <xf borderId="110" fillId="0" fontId="11" numFmtId="167" xfId="0" applyAlignment="1" applyBorder="1" applyFont="1" applyNumberFormat="1">
      <alignment horizontal="center" vertical="center"/>
    </xf>
    <xf borderId="111" fillId="0" fontId="11" numFmtId="9" xfId="0" applyAlignment="1" applyBorder="1" applyFont="1" applyNumberFormat="1">
      <alignment horizontal="center" vertical="center"/>
    </xf>
    <xf borderId="113" fillId="0" fontId="11" numFmtId="0" xfId="0" applyAlignment="1" applyBorder="1" applyFont="1">
      <alignment horizontal="center" vertical="center"/>
    </xf>
    <xf borderId="110" fillId="0" fontId="11" numFmtId="9" xfId="0" applyAlignment="1" applyBorder="1" applyFont="1" applyNumberFormat="1">
      <alignment horizontal="center" vertical="center"/>
    </xf>
    <xf borderId="110" fillId="0" fontId="11" numFmtId="164" xfId="0" applyAlignment="1" applyBorder="1" applyFont="1" applyNumberFormat="1">
      <alignment horizontal="center" vertical="center"/>
    </xf>
    <xf borderId="114" fillId="0" fontId="11" numFmtId="164" xfId="0" applyAlignment="1" applyBorder="1" applyFont="1" applyNumberFormat="1">
      <alignment horizontal="center" vertical="center"/>
    </xf>
    <xf borderId="19" fillId="14" fontId="2" numFmtId="0" xfId="0" applyAlignment="1" applyBorder="1" applyFont="1">
      <alignment horizontal="left" vertical="center"/>
    </xf>
    <xf borderId="47" fillId="14" fontId="2" numFmtId="0" xfId="0" applyAlignment="1" applyBorder="1" applyFont="1">
      <alignment horizontal="left" vertical="top"/>
    </xf>
    <xf borderId="47" fillId="14" fontId="2" numFmtId="0" xfId="0" applyAlignment="1" applyBorder="1" applyFont="1">
      <alignment horizontal="center"/>
    </xf>
    <xf borderId="47" fillId="14" fontId="16" numFmtId="0" xfId="0" applyBorder="1" applyFont="1"/>
    <xf quotePrefix="1" borderId="47" fillId="14" fontId="34" numFmtId="0" xfId="0" applyAlignment="1" applyBorder="1" applyFont="1">
      <alignment horizontal="left"/>
    </xf>
    <xf borderId="6" fillId="16" fontId="18" numFmtId="0" xfId="0" applyAlignment="1" applyBorder="1" applyFill="1" applyFont="1">
      <alignment horizontal="center"/>
    </xf>
    <xf borderId="6" fillId="17" fontId="18" numFmtId="0" xfId="0" applyAlignment="1" applyBorder="1" applyFill="1" applyFont="1">
      <alignment horizontal="center"/>
    </xf>
    <xf borderId="6" fillId="18" fontId="18" numFmtId="0" xfId="0" applyAlignment="1" applyBorder="1" applyFill="1" applyFont="1">
      <alignment horizontal="center"/>
    </xf>
    <xf borderId="6" fillId="19" fontId="18" numFmtId="0" xfId="0" applyAlignment="1" applyBorder="1" applyFill="1" applyFont="1">
      <alignment horizontal="center"/>
    </xf>
    <xf borderId="6" fillId="20" fontId="18" numFmtId="0" xfId="0" applyAlignment="1" applyBorder="1" applyFill="1" applyFont="1">
      <alignment horizontal="center"/>
    </xf>
    <xf borderId="6" fillId="0" fontId="16" numFmtId="0" xfId="0" applyAlignment="1" applyBorder="1" applyFont="1">
      <alignment horizontal="right"/>
    </xf>
    <xf borderId="6" fillId="0" fontId="16" numFmtId="0" xfId="0" applyBorder="1" applyFont="1"/>
    <xf borderId="6" fillId="0" fontId="16" numFmtId="164" xfId="0" applyBorder="1" applyFont="1" applyNumberFormat="1"/>
    <xf borderId="6" fillId="0" fontId="16" numFmtId="0" xfId="0" applyAlignment="1" applyBorder="1" applyFont="1">
      <alignment horizontal="center"/>
    </xf>
    <xf borderId="6" fillId="0" fontId="19" numFmtId="0" xfId="0" applyAlignment="1" applyBorder="1" applyFont="1">
      <alignment horizontal="left"/>
    </xf>
    <xf borderId="6" fillId="0" fontId="19" numFmtId="0" xfId="0" applyBorder="1" applyFont="1"/>
    <xf borderId="6" fillId="0" fontId="35" numFmtId="0" xfId="0" applyBorder="1" applyFont="1"/>
    <xf borderId="6" fillId="0" fontId="36" numFmtId="0" xfId="0" applyBorder="1" applyFont="1"/>
    <xf borderId="6" fillId="0" fontId="16" numFmtId="0" xfId="0" applyAlignment="1" applyBorder="1" applyFont="1">
      <alignment vertical="center"/>
    </xf>
    <xf borderId="6" fillId="0" fontId="16" numFmtId="164" xfId="0" applyAlignment="1" applyBorder="1" applyFont="1" applyNumberFormat="1">
      <alignment vertical="center"/>
    </xf>
    <xf borderId="6" fillId="14" fontId="16" numFmtId="0" xfId="0" applyBorder="1" applyFont="1"/>
    <xf borderId="0" fillId="0" fontId="18" numFmtId="0" xfId="0" applyFont="1"/>
    <xf borderId="6" fillId="0" fontId="18" numFmtId="0" xfId="0" applyBorder="1" applyFont="1"/>
    <xf borderId="0" fillId="0" fontId="16" numFmtId="0" xfId="0" applyAlignment="1" applyFont="1">
      <alignment horizontal="center"/>
    </xf>
    <xf borderId="0" fillId="0" fontId="37" numFmtId="0" xfId="0" applyAlignment="1" applyFont="1">
      <alignment horizontal="left" vertical="center"/>
    </xf>
    <xf borderId="0" fillId="0" fontId="16" numFmtId="0" xfId="0" applyAlignment="1" applyFont="1">
      <alignment vertical="center"/>
    </xf>
    <xf borderId="61" fillId="0" fontId="38" numFmtId="0" xfId="0" applyAlignment="1" applyBorder="1" applyFont="1">
      <alignment horizontal="left" vertical="center"/>
    </xf>
    <xf borderId="6" fillId="3" fontId="39" numFmtId="0" xfId="0" applyAlignment="1" applyBorder="1" applyFont="1">
      <alignment horizontal="center" vertical="center"/>
    </xf>
    <xf borderId="6" fillId="3" fontId="37" numFmtId="0" xfId="0" applyAlignment="1" applyBorder="1" applyFont="1">
      <alignment horizontal="center" vertical="center"/>
    </xf>
    <xf borderId="6" fillId="3" fontId="37" numFmtId="0" xfId="0" applyAlignment="1" applyBorder="1" applyFont="1">
      <alignment horizontal="center" shrinkToFit="0" vertical="center" wrapText="1"/>
    </xf>
    <xf borderId="6" fillId="21" fontId="37" numFmtId="0" xfId="0" applyAlignment="1" applyBorder="1" applyFill="1" applyFont="1">
      <alignment horizontal="center" vertical="center"/>
    </xf>
    <xf borderId="6" fillId="21" fontId="37" numFmtId="0" xfId="0" applyAlignment="1" applyBorder="1" applyFont="1">
      <alignment horizontal="center" shrinkToFit="0" vertical="center" wrapText="1"/>
    </xf>
    <xf borderId="6" fillId="0" fontId="40" numFmtId="0" xfId="0" applyAlignment="1" applyBorder="1" applyFont="1">
      <alignment horizontal="center" vertical="center"/>
    </xf>
    <xf borderId="6" fillId="0" fontId="40" numFmtId="164" xfId="0" applyAlignment="1" applyBorder="1" applyFont="1" applyNumberFormat="1">
      <alignment horizontal="center" vertical="center"/>
    </xf>
    <xf borderId="6" fillId="0" fontId="40" numFmtId="0" xfId="0" applyAlignment="1" applyBorder="1" applyFont="1">
      <alignment shrinkToFit="0" vertical="center" wrapText="1"/>
    </xf>
    <xf borderId="6" fillId="0" fontId="40" numFmtId="0" xfId="0" applyAlignment="1" applyBorder="1" applyFont="1">
      <alignment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shrinkToFit="0" vertical="center" wrapText="1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</xdr:row>
      <xdr:rowOff>0</xdr:rowOff>
    </xdr:from>
    <xdr:ext cx="2000250" cy="657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971550" cy="581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oVWvAHmRhh-xEuy5hTX_fYjaF8gwScnRDLgSSfP6Tqo/edit?usp=sharing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11" width="8.71"/>
    <col customWidth="1" min="12" max="12" width="8.86"/>
    <col customWidth="1" min="13" max="26" width="8.71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6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ht="27.7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7" t="s">
        <v>0</v>
      </c>
      <c r="M3" s="8" t="s">
        <v>1</v>
      </c>
      <c r="N3" s="9"/>
    </row>
    <row r="4" ht="16.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ht="16.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ht="16.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ht="16.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</row>
    <row r="8" ht="16.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</row>
    <row r="9" ht="44.25" customHeight="1">
      <c r="A9" s="4"/>
      <c r="B9" s="10" t="s">
        <v>2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</row>
    <row r="10" ht="33.0" customHeight="1">
      <c r="A10" s="4"/>
      <c r="B10" s="13" t="s">
        <v>3</v>
      </c>
      <c r="N10" s="14"/>
    </row>
    <row r="11" ht="16.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ht="16.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</row>
    <row r="13" ht="16.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</row>
    <row r="14" ht="16.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</row>
    <row r="15" ht="16.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6"/>
    </row>
    <row r="16" ht="17.25" customHeight="1">
      <c r="A16" s="15"/>
      <c r="B16" s="16"/>
      <c r="C16" s="16"/>
      <c r="D16" s="16"/>
      <c r="E16" s="16"/>
      <c r="F16" s="16"/>
      <c r="G16" s="16"/>
      <c r="H16" s="16"/>
      <c r="I16" s="16"/>
      <c r="J16" s="5"/>
      <c r="K16" s="5"/>
      <c r="L16" s="5"/>
      <c r="M16" s="5"/>
      <c r="N16" s="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7.25" customHeight="1">
      <c r="A17" s="15"/>
      <c r="B17" s="16"/>
      <c r="C17" s="16"/>
      <c r="D17" s="16"/>
      <c r="E17" s="16"/>
      <c r="F17" s="16"/>
      <c r="G17" s="16"/>
      <c r="H17" s="16"/>
      <c r="I17" s="16"/>
      <c r="J17" s="5"/>
      <c r="K17" s="5"/>
      <c r="L17" s="5"/>
      <c r="M17" s="5"/>
      <c r="N17" s="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23.25" customHeight="1">
      <c r="A18" s="4"/>
      <c r="B18" s="5"/>
      <c r="C18" s="5"/>
      <c r="D18" s="5"/>
      <c r="E18" s="5"/>
      <c r="F18" s="5"/>
      <c r="G18" s="5"/>
      <c r="H18" s="17" t="s">
        <v>4</v>
      </c>
      <c r="I18" s="5"/>
      <c r="J18" s="16"/>
      <c r="K18" s="5"/>
      <c r="L18" s="5"/>
      <c r="M18" s="5"/>
      <c r="N18" s="6"/>
    </row>
    <row r="19" ht="23.25" customHeight="1">
      <c r="A19" s="4"/>
      <c r="B19" s="5"/>
      <c r="C19" s="5"/>
      <c r="D19" s="5"/>
      <c r="E19" s="5"/>
      <c r="F19" s="5"/>
      <c r="G19" s="5"/>
      <c r="H19" s="5"/>
      <c r="I19" s="5"/>
      <c r="J19" s="16"/>
      <c r="K19" s="5"/>
      <c r="L19" s="5"/>
      <c r="M19" s="5"/>
      <c r="N19" s="6"/>
    </row>
    <row r="20" ht="16.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</row>
    <row r="21" ht="16.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/>
    </row>
    <row r="22" ht="16.5" customHeight="1">
      <c r="A22" s="18" t="s">
        <v>5</v>
      </c>
      <c r="N22" s="14"/>
    </row>
    <row r="23" ht="16.5" customHeight="1">
      <c r="A23" s="19"/>
      <c r="N23" s="14"/>
    </row>
    <row r="24" ht="16.5" customHeight="1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2"/>
    </row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M3:N3"/>
    <mergeCell ref="B9:N9"/>
    <mergeCell ref="B10:N10"/>
    <mergeCell ref="A22:N23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3" width="13.43"/>
    <col customWidth="1" min="4" max="4" width="60.71"/>
    <col customWidth="1" min="5" max="6" width="13.43"/>
    <col customWidth="1" min="7" max="11" width="8.71"/>
    <col customWidth="1" min="12" max="12" width="8.86"/>
    <col customWidth="1" hidden="1" min="13" max="13" width="18.57"/>
    <col customWidth="1" min="14" max="15" width="8.71"/>
  </cols>
  <sheetData>
    <row r="1" ht="16.5" customHeight="1"/>
    <row r="2" ht="16.5" customHeight="1">
      <c r="B2" s="23" t="s">
        <v>6</v>
      </c>
      <c r="C2" s="24"/>
      <c r="D2" s="24"/>
      <c r="E2" s="24"/>
      <c r="F2" s="25"/>
      <c r="G2" s="26"/>
      <c r="H2" s="26"/>
      <c r="I2" s="26"/>
      <c r="J2" s="26"/>
      <c r="K2" s="26"/>
      <c r="L2" s="26"/>
      <c r="M2" s="26"/>
      <c r="N2" s="26"/>
      <c r="O2" s="26"/>
    </row>
    <row r="3" ht="16.5" customHeight="1"/>
    <row r="4" ht="16.5" customHeight="1">
      <c r="B4" s="27" t="s">
        <v>7</v>
      </c>
      <c r="C4" s="27" t="s">
        <v>8</v>
      </c>
      <c r="D4" s="27" t="s">
        <v>9</v>
      </c>
      <c r="E4" s="27" t="s">
        <v>10</v>
      </c>
      <c r="F4" s="27" t="s">
        <v>11</v>
      </c>
    </row>
    <row r="5" ht="16.5" customHeight="1">
      <c r="B5" s="28"/>
      <c r="C5" s="28"/>
      <c r="D5" s="28"/>
      <c r="E5" s="28"/>
      <c r="F5" s="28"/>
    </row>
    <row r="6" ht="16.5" customHeight="1">
      <c r="B6" s="29">
        <v>0.1</v>
      </c>
      <c r="C6" s="30" t="s">
        <v>12</v>
      </c>
      <c r="D6" s="31" t="s">
        <v>13</v>
      </c>
      <c r="E6" s="29" t="s">
        <v>14</v>
      </c>
      <c r="F6" s="29" t="s">
        <v>14</v>
      </c>
    </row>
    <row r="7" ht="16.5" customHeight="1">
      <c r="B7" s="29">
        <v>0.2</v>
      </c>
      <c r="C7" s="29"/>
      <c r="D7" s="32"/>
      <c r="E7" s="29"/>
      <c r="F7" s="29"/>
    </row>
    <row r="8" ht="16.5" customHeight="1">
      <c r="B8" s="29">
        <v>0.3</v>
      </c>
      <c r="C8" s="29"/>
      <c r="D8" s="32"/>
      <c r="E8" s="29"/>
      <c r="F8" s="29"/>
    </row>
    <row r="9" ht="16.5" customHeight="1">
      <c r="B9" s="29">
        <v>0.4</v>
      </c>
      <c r="C9" s="29"/>
      <c r="D9" s="32"/>
      <c r="E9" s="29"/>
      <c r="F9" s="29"/>
    </row>
    <row r="10" ht="16.5" customHeight="1">
      <c r="B10" s="29">
        <v>0.5</v>
      </c>
      <c r="C10" s="29"/>
      <c r="D10" s="32"/>
      <c r="E10" s="29"/>
      <c r="F10" s="29"/>
    </row>
    <row r="11" ht="16.5" customHeight="1">
      <c r="B11" s="29">
        <v>0.6</v>
      </c>
      <c r="C11" s="29"/>
      <c r="D11" s="32"/>
      <c r="E11" s="29"/>
      <c r="F11" s="29"/>
    </row>
    <row r="12" ht="16.5" customHeight="1">
      <c r="B12" s="29">
        <v>0.7</v>
      </c>
      <c r="C12" s="29"/>
      <c r="D12" s="32"/>
      <c r="E12" s="29"/>
      <c r="F12" s="29"/>
    </row>
    <row r="13" ht="16.5" customHeight="1">
      <c r="B13" s="29"/>
      <c r="C13" s="29"/>
      <c r="D13" s="32"/>
      <c r="E13" s="29"/>
      <c r="F13" s="29"/>
    </row>
    <row r="14" ht="16.5" customHeight="1">
      <c r="B14" s="29"/>
      <c r="C14" s="29"/>
      <c r="D14" s="32"/>
      <c r="E14" s="29"/>
      <c r="F14" s="29"/>
    </row>
    <row r="15" ht="16.5" customHeight="1">
      <c r="B15" s="29"/>
      <c r="C15" s="29"/>
      <c r="D15" s="32"/>
      <c r="E15" s="29"/>
      <c r="F15" s="29"/>
    </row>
    <row r="16" ht="16.5" customHeight="1">
      <c r="B16" s="29"/>
      <c r="C16" s="29"/>
      <c r="D16" s="32"/>
      <c r="E16" s="29"/>
      <c r="F16" s="29"/>
    </row>
    <row r="17" ht="16.5" customHeight="1">
      <c r="B17" s="29"/>
      <c r="C17" s="29"/>
      <c r="D17" s="32"/>
      <c r="E17" s="29"/>
      <c r="F17" s="29"/>
    </row>
    <row r="18" ht="16.5" customHeight="1">
      <c r="B18" s="29"/>
      <c r="C18" s="29"/>
      <c r="D18" s="32"/>
      <c r="E18" s="29"/>
      <c r="F18" s="29"/>
    </row>
    <row r="19" ht="16.5" customHeight="1">
      <c r="B19" s="29"/>
      <c r="C19" s="29"/>
      <c r="D19" s="32"/>
      <c r="E19" s="29"/>
      <c r="F19" s="29"/>
    </row>
    <row r="20" ht="16.5" customHeight="1">
      <c r="B20" s="29"/>
      <c r="C20" s="29"/>
      <c r="D20" s="32"/>
      <c r="E20" s="29"/>
      <c r="F20" s="29"/>
    </row>
    <row r="21" ht="16.5" customHeight="1">
      <c r="B21" s="29"/>
      <c r="C21" s="29"/>
      <c r="D21" s="32"/>
      <c r="E21" s="29"/>
      <c r="F21" s="29"/>
    </row>
    <row r="22" ht="16.5" customHeight="1">
      <c r="B22" s="29"/>
      <c r="C22" s="29"/>
      <c r="D22" s="32"/>
      <c r="E22" s="29"/>
      <c r="F22" s="29"/>
    </row>
    <row r="23" ht="16.5" customHeight="1">
      <c r="B23" s="29"/>
      <c r="C23" s="29"/>
      <c r="D23" s="32"/>
      <c r="E23" s="29"/>
      <c r="F23" s="29"/>
    </row>
    <row r="24" ht="16.5" customHeight="1">
      <c r="B24" s="29"/>
      <c r="C24" s="29"/>
      <c r="D24" s="32"/>
      <c r="E24" s="29"/>
      <c r="F24" s="29"/>
    </row>
    <row r="25" ht="16.5" customHeight="1">
      <c r="B25" s="29"/>
      <c r="C25" s="29"/>
      <c r="D25" s="32"/>
      <c r="E25" s="29"/>
      <c r="F25" s="29"/>
    </row>
    <row r="26" ht="16.5" customHeight="1">
      <c r="B26" s="29"/>
      <c r="C26" s="29"/>
      <c r="D26" s="32"/>
      <c r="E26" s="29"/>
      <c r="F26" s="29"/>
    </row>
    <row r="27" ht="16.5" customHeight="1">
      <c r="B27" s="29"/>
      <c r="C27" s="29"/>
      <c r="D27" s="32"/>
      <c r="E27" s="29"/>
      <c r="F27" s="29"/>
    </row>
    <row r="28" ht="16.5" customHeight="1">
      <c r="B28" s="29"/>
      <c r="C28" s="29"/>
      <c r="D28" s="32"/>
      <c r="E28" s="29"/>
      <c r="F28" s="29"/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F2"/>
    <mergeCell ref="B4:B5"/>
    <mergeCell ref="C4:C5"/>
    <mergeCell ref="D4:D5"/>
    <mergeCell ref="E4:E5"/>
    <mergeCell ref="F4:F5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12.86"/>
    <col customWidth="1" min="3" max="4" width="12.57"/>
    <col customWidth="1" min="5" max="5" width="14.71"/>
    <col customWidth="1" min="6" max="8" width="10.43"/>
    <col customWidth="1" min="9" max="32" width="5.29"/>
    <col customWidth="1" min="33" max="33" width="9.0"/>
  </cols>
  <sheetData>
    <row r="1" ht="16.5" customHeight="1">
      <c r="A1" s="33"/>
      <c r="B1" s="34"/>
      <c r="C1" s="34"/>
      <c r="D1" s="34"/>
      <c r="E1" s="33"/>
      <c r="F1" s="34"/>
      <c r="G1" s="34"/>
      <c r="H1" s="34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 ht="42.0" customHeight="1">
      <c r="A2" s="33"/>
      <c r="B2" s="35" t="s">
        <v>15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7"/>
      <c r="AG2" s="33"/>
    </row>
    <row r="3" ht="10.5" customHeight="1">
      <c r="A3" s="33"/>
      <c r="B3" s="38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ht="21.75" customHeight="1">
      <c r="A4" s="39"/>
      <c r="B4" s="40" t="s">
        <v>16</v>
      </c>
      <c r="C4" s="41" t="s">
        <v>17</v>
      </c>
      <c r="D4" s="42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5"/>
      <c r="AG4" s="39"/>
    </row>
    <row r="5" ht="21.75" customHeight="1">
      <c r="A5" s="39"/>
      <c r="B5" s="46"/>
      <c r="C5" s="47"/>
      <c r="D5" s="47"/>
      <c r="E5" s="47"/>
      <c r="F5" s="47"/>
      <c r="G5" s="47"/>
      <c r="H5" s="47"/>
      <c r="I5" s="48" t="s">
        <v>24</v>
      </c>
      <c r="J5" s="49"/>
      <c r="K5" s="48" t="s">
        <v>25</v>
      </c>
      <c r="L5" s="49"/>
      <c r="M5" s="48" t="s">
        <v>26</v>
      </c>
      <c r="N5" s="49"/>
      <c r="O5" s="48" t="s">
        <v>27</v>
      </c>
      <c r="P5" s="49"/>
      <c r="Q5" s="48" t="s">
        <v>28</v>
      </c>
      <c r="R5" s="49"/>
      <c r="S5" s="48" t="s">
        <v>29</v>
      </c>
      <c r="T5" s="49"/>
      <c r="U5" s="48" t="s">
        <v>30</v>
      </c>
      <c r="V5" s="49"/>
      <c r="W5" s="48" t="s">
        <v>31</v>
      </c>
      <c r="X5" s="49"/>
      <c r="Y5" s="48" t="s">
        <v>32</v>
      </c>
      <c r="Z5" s="49"/>
      <c r="AA5" s="48" t="s">
        <v>33</v>
      </c>
      <c r="AB5" s="49"/>
      <c r="AC5" s="48" t="s">
        <v>34</v>
      </c>
      <c r="AD5" s="49"/>
      <c r="AE5" s="48" t="s">
        <v>35</v>
      </c>
      <c r="AF5" s="9"/>
      <c r="AG5" s="39"/>
    </row>
    <row r="6" ht="21.75" customHeight="1">
      <c r="A6" s="39"/>
      <c r="B6" s="50"/>
      <c r="C6" s="51"/>
      <c r="D6" s="51"/>
      <c r="E6" s="51"/>
      <c r="F6" s="51"/>
      <c r="G6" s="51"/>
      <c r="H6" s="51"/>
      <c r="I6" s="52" t="s">
        <v>36</v>
      </c>
      <c r="J6" s="52" t="s">
        <v>37</v>
      </c>
      <c r="K6" s="52" t="s">
        <v>38</v>
      </c>
      <c r="L6" s="52" t="s">
        <v>39</v>
      </c>
      <c r="M6" s="52" t="s">
        <v>40</v>
      </c>
      <c r="N6" s="52" t="s">
        <v>41</v>
      </c>
      <c r="O6" s="52" t="s">
        <v>42</v>
      </c>
      <c r="P6" s="52" t="s">
        <v>43</v>
      </c>
      <c r="Q6" s="52" t="s">
        <v>44</v>
      </c>
      <c r="R6" s="52" t="s">
        <v>45</v>
      </c>
      <c r="S6" s="52" t="s">
        <v>46</v>
      </c>
      <c r="T6" s="52" t="s">
        <v>47</v>
      </c>
      <c r="U6" s="52" t="s">
        <v>48</v>
      </c>
      <c r="V6" s="52" t="s">
        <v>49</v>
      </c>
      <c r="W6" s="52" t="s">
        <v>50</v>
      </c>
      <c r="X6" s="52" t="s">
        <v>51</v>
      </c>
      <c r="Y6" s="52" t="s">
        <v>52</v>
      </c>
      <c r="Z6" s="52" t="s">
        <v>53</v>
      </c>
      <c r="AA6" s="52" t="s">
        <v>54</v>
      </c>
      <c r="AB6" s="52" t="s">
        <v>55</v>
      </c>
      <c r="AC6" s="52" t="s">
        <v>56</v>
      </c>
      <c r="AD6" s="52" t="s">
        <v>57</v>
      </c>
      <c r="AE6" s="52" t="s">
        <v>58</v>
      </c>
      <c r="AF6" s="53" t="s">
        <v>59</v>
      </c>
      <c r="AG6" s="39"/>
    </row>
    <row r="7" ht="20.25" customHeight="1">
      <c r="A7" s="33"/>
      <c r="B7" s="54" t="s">
        <v>60</v>
      </c>
      <c r="C7" s="55" t="s">
        <v>61</v>
      </c>
      <c r="D7" s="55" t="s">
        <v>62</v>
      </c>
      <c r="E7" s="55" t="s">
        <v>63</v>
      </c>
      <c r="F7" s="56">
        <f t="shared" ref="F7:G7" si="1">SUM(I7,K7,M7,O7,Q7,S7,U7,W7,Y7,AA7,AC7,AE7)</f>
        <v>11.2</v>
      </c>
      <c r="G7" s="56">
        <f t="shared" si="1"/>
        <v>2.2</v>
      </c>
      <c r="H7" s="56">
        <f t="shared" ref="H7:H18" si="3">F7-G7</f>
        <v>9</v>
      </c>
      <c r="I7" s="57">
        <v>0.2</v>
      </c>
      <c r="J7" s="58">
        <v>0.2</v>
      </c>
      <c r="K7" s="57">
        <v>1.0</v>
      </c>
      <c r="L7" s="58">
        <v>1.0</v>
      </c>
      <c r="M7" s="57">
        <v>1.0</v>
      </c>
      <c r="N7" s="58">
        <v>1.0</v>
      </c>
      <c r="O7" s="57">
        <v>1.0</v>
      </c>
      <c r="P7" s="58"/>
      <c r="Q7" s="57">
        <v>1.0</v>
      </c>
      <c r="R7" s="58"/>
      <c r="S7" s="57">
        <v>1.0</v>
      </c>
      <c r="T7" s="58"/>
      <c r="U7" s="57">
        <v>1.0</v>
      </c>
      <c r="V7" s="58"/>
      <c r="W7" s="57">
        <v>1.0</v>
      </c>
      <c r="X7" s="58"/>
      <c r="Y7" s="57">
        <v>1.0</v>
      </c>
      <c r="Z7" s="58"/>
      <c r="AA7" s="57">
        <v>1.0</v>
      </c>
      <c r="AB7" s="58"/>
      <c r="AC7" s="57">
        <v>1.0</v>
      </c>
      <c r="AD7" s="58"/>
      <c r="AE7" s="57">
        <v>1.0</v>
      </c>
      <c r="AF7" s="59"/>
      <c r="AG7" s="33"/>
    </row>
    <row r="8" ht="20.25" customHeight="1">
      <c r="A8" s="33"/>
      <c r="B8" s="60" t="s">
        <v>64</v>
      </c>
      <c r="C8" s="61" t="s">
        <v>65</v>
      </c>
      <c r="D8" s="61" t="s">
        <v>66</v>
      </c>
      <c r="E8" s="55" t="s">
        <v>67</v>
      </c>
      <c r="F8" s="56">
        <f t="shared" ref="F8:G8" si="2">SUM(I8,K8,M8,O8,Q8,S8,U8,W8,Y8,AA8,AC8,AE8)</f>
        <v>11.2</v>
      </c>
      <c r="G8" s="56">
        <f t="shared" si="2"/>
        <v>2.2</v>
      </c>
      <c r="H8" s="62">
        <f t="shared" si="3"/>
        <v>9</v>
      </c>
      <c r="I8" s="57">
        <v>0.2</v>
      </c>
      <c r="J8" s="58">
        <v>0.2</v>
      </c>
      <c r="K8" s="63">
        <v>1.0</v>
      </c>
      <c r="L8" s="58">
        <v>1.0</v>
      </c>
      <c r="M8" s="63">
        <v>1.0</v>
      </c>
      <c r="N8" s="58">
        <v>1.0</v>
      </c>
      <c r="O8" s="63">
        <v>1.0</v>
      </c>
      <c r="P8" s="58"/>
      <c r="Q8" s="63">
        <v>1.0</v>
      </c>
      <c r="R8" s="58"/>
      <c r="S8" s="63">
        <v>1.0</v>
      </c>
      <c r="T8" s="58"/>
      <c r="U8" s="63">
        <v>1.0</v>
      </c>
      <c r="V8" s="58"/>
      <c r="W8" s="63">
        <v>1.0</v>
      </c>
      <c r="X8" s="58"/>
      <c r="Y8" s="63">
        <v>1.0</v>
      </c>
      <c r="Z8" s="58"/>
      <c r="AA8" s="63">
        <v>1.0</v>
      </c>
      <c r="AB8" s="58"/>
      <c r="AC8" s="63">
        <v>1.0</v>
      </c>
      <c r="AD8" s="58"/>
      <c r="AE8" s="63">
        <v>1.0</v>
      </c>
      <c r="AF8" s="59"/>
      <c r="AG8" s="33"/>
    </row>
    <row r="9" ht="20.25" customHeight="1">
      <c r="A9" s="33"/>
      <c r="B9" s="64" t="s">
        <v>68</v>
      </c>
      <c r="C9" s="65" t="s">
        <v>69</v>
      </c>
      <c r="D9" s="61" t="s">
        <v>70</v>
      </c>
      <c r="E9" s="55" t="s">
        <v>71</v>
      </c>
      <c r="F9" s="56">
        <f t="shared" ref="F9:G9" si="4">SUM(I9,K9,M9,O9,Q9,S9,U9,W9,Y9,AA9,AC9,AE9)</f>
        <v>11.2</v>
      </c>
      <c r="G9" s="56">
        <f t="shared" si="4"/>
        <v>2.2</v>
      </c>
      <c r="H9" s="62">
        <f t="shared" si="3"/>
        <v>9</v>
      </c>
      <c r="I9" s="57">
        <v>0.2</v>
      </c>
      <c r="J9" s="58">
        <v>0.2</v>
      </c>
      <c r="K9" s="63">
        <v>1.0</v>
      </c>
      <c r="L9" s="58">
        <v>1.0</v>
      </c>
      <c r="M9" s="63">
        <v>1.0</v>
      </c>
      <c r="N9" s="58">
        <v>1.0</v>
      </c>
      <c r="O9" s="63">
        <v>1.0</v>
      </c>
      <c r="P9" s="58"/>
      <c r="Q9" s="63">
        <v>1.0</v>
      </c>
      <c r="R9" s="58"/>
      <c r="S9" s="63">
        <v>1.0</v>
      </c>
      <c r="T9" s="58"/>
      <c r="U9" s="63">
        <v>1.0</v>
      </c>
      <c r="V9" s="58"/>
      <c r="W9" s="63">
        <v>1.0</v>
      </c>
      <c r="X9" s="58"/>
      <c r="Y9" s="63">
        <v>1.0</v>
      </c>
      <c r="Z9" s="58"/>
      <c r="AA9" s="63">
        <v>1.0</v>
      </c>
      <c r="AB9" s="58"/>
      <c r="AC9" s="63">
        <v>1.0</v>
      </c>
      <c r="AD9" s="58"/>
      <c r="AE9" s="63">
        <v>1.0</v>
      </c>
      <c r="AF9" s="59"/>
      <c r="AG9" s="33"/>
    </row>
    <row r="10" ht="20.25" customHeight="1">
      <c r="A10" s="33"/>
      <c r="B10" s="60" t="s">
        <v>72</v>
      </c>
      <c r="C10" s="61" t="s">
        <v>73</v>
      </c>
      <c r="D10" s="61" t="s">
        <v>74</v>
      </c>
      <c r="E10" s="55" t="s">
        <v>75</v>
      </c>
      <c r="F10" s="56">
        <f t="shared" ref="F10:G10" si="5">SUM(I10,K10,M10,O10,Q10,S10,U10,W10,Y10,AA10,AC10,AE10)</f>
        <v>11.2</v>
      </c>
      <c r="G10" s="56">
        <f t="shared" si="5"/>
        <v>2.2</v>
      </c>
      <c r="H10" s="62">
        <f t="shared" si="3"/>
        <v>9</v>
      </c>
      <c r="I10" s="57">
        <v>0.2</v>
      </c>
      <c r="J10" s="58">
        <v>0.2</v>
      </c>
      <c r="K10" s="63">
        <v>1.0</v>
      </c>
      <c r="L10" s="58">
        <v>1.0</v>
      </c>
      <c r="M10" s="63">
        <v>1.0</v>
      </c>
      <c r="N10" s="58">
        <v>1.0</v>
      </c>
      <c r="O10" s="63">
        <v>1.0</v>
      </c>
      <c r="P10" s="58"/>
      <c r="Q10" s="63">
        <v>1.0</v>
      </c>
      <c r="R10" s="58"/>
      <c r="S10" s="63">
        <v>1.0</v>
      </c>
      <c r="T10" s="58"/>
      <c r="U10" s="63">
        <v>1.0</v>
      </c>
      <c r="V10" s="58"/>
      <c r="W10" s="63">
        <v>1.0</v>
      </c>
      <c r="X10" s="58"/>
      <c r="Y10" s="63">
        <v>1.0</v>
      </c>
      <c r="Z10" s="58"/>
      <c r="AA10" s="63">
        <v>1.0</v>
      </c>
      <c r="AB10" s="58"/>
      <c r="AC10" s="63">
        <v>1.0</v>
      </c>
      <c r="AD10" s="58"/>
      <c r="AE10" s="63">
        <v>1.0</v>
      </c>
      <c r="AF10" s="59"/>
      <c r="AG10" s="33"/>
    </row>
    <row r="11" ht="20.25" customHeight="1">
      <c r="A11" s="33"/>
      <c r="B11" s="60" t="s">
        <v>76</v>
      </c>
      <c r="C11" s="61" t="s">
        <v>77</v>
      </c>
      <c r="D11" s="61" t="s">
        <v>78</v>
      </c>
      <c r="E11" s="55" t="s">
        <v>79</v>
      </c>
      <c r="F11" s="56">
        <f t="shared" ref="F11:G11" si="6">SUM(I11,K11,M11,O11,Q11,S11,U11,W11,Y11,AA11,AC11,AE11)</f>
        <v>11.2</v>
      </c>
      <c r="G11" s="56">
        <f t="shared" si="6"/>
        <v>2.2</v>
      </c>
      <c r="H11" s="62">
        <f t="shared" si="3"/>
        <v>9</v>
      </c>
      <c r="I11" s="57">
        <v>0.2</v>
      </c>
      <c r="J11" s="58">
        <v>0.2</v>
      </c>
      <c r="K11" s="63">
        <v>1.0</v>
      </c>
      <c r="L11" s="58">
        <v>1.0</v>
      </c>
      <c r="M11" s="63">
        <v>1.0</v>
      </c>
      <c r="N11" s="58">
        <v>1.0</v>
      </c>
      <c r="O11" s="63">
        <v>1.0</v>
      </c>
      <c r="P11" s="58"/>
      <c r="Q11" s="63">
        <v>1.0</v>
      </c>
      <c r="R11" s="58"/>
      <c r="S11" s="63">
        <v>1.0</v>
      </c>
      <c r="T11" s="58"/>
      <c r="U11" s="63">
        <v>1.0</v>
      </c>
      <c r="V11" s="58"/>
      <c r="W11" s="63">
        <v>1.0</v>
      </c>
      <c r="X11" s="58"/>
      <c r="Y11" s="63">
        <v>1.0</v>
      </c>
      <c r="Z11" s="58"/>
      <c r="AA11" s="63">
        <v>1.0</v>
      </c>
      <c r="AB11" s="58"/>
      <c r="AC11" s="63">
        <v>1.0</v>
      </c>
      <c r="AD11" s="58"/>
      <c r="AE11" s="63">
        <v>1.0</v>
      </c>
      <c r="AF11" s="59"/>
      <c r="AG11" s="33"/>
    </row>
    <row r="12" ht="20.25" customHeight="1">
      <c r="A12" s="33"/>
      <c r="B12" s="60" t="s">
        <v>80</v>
      </c>
      <c r="C12" s="66" t="s">
        <v>81</v>
      </c>
      <c r="D12" s="61" t="s">
        <v>82</v>
      </c>
      <c r="E12" s="55" t="s">
        <v>83</v>
      </c>
      <c r="F12" s="56">
        <f t="shared" ref="F12:G12" si="7">SUM(I12,K12,M12,O12,Q12,S12,U12,W12,Y12,AA12,AC12,AE12)</f>
        <v>11.2</v>
      </c>
      <c r="G12" s="56">
        <f t="shared" si="7"/>
        <v>2.2</v>
      </c>
      <c r="H12" s="62">
        <f t="shared" si="3"/>
        <v>9</v>
      </c>
      <c r="I12" s="57">
        <v>0.2</v>
      </c>
      <c r="J12" s="58">
        <v>0.2</v>
      </c>
      <c r="K12" s="63">
        <v>1.0</v>
      </c>
      <c r="L12" s="58">
        <v>1.0</v>
      </c>
      <c r="M12" s="63">
        <v>1.0</v>
      </c>
      <c r="N12" s="58">
        <v>1.0</v>
      </c>
      <c r="O12" s="63">
        <v>1.0</v>
      </c>
      <c r="P12" s="58"/>
      <c r="Q12" s="63">
        <v>1.0</v>
      </c>
      <c r="R12" s="58"/>
      <c r="S12" s="63">
        <v>1.0</v>
      </c>
      <c r="T12" s="58"/>
      <c r="U12" s="63">
        <v>1.0</v>
      </c>
      <c r="V12" s="58"/>
      <c r="W12" s="63">
        <v>1.0</v>
      </c>
      <c r="X12" s="58"/>
      <c r="Y12" s="63">
        <v>1.0</v>
      </c>
      <c r="Z12" s="58"/>
      <c r="AA12" s="63">
        <v>1.0</v>
      </c>
      <c r="AB12" s="58"/>
      <c r="AC12" s="63">
        <v>1.0</v>
      </c>
      <c r="AD12" s="58"/>
      <c r="AE12" s="63">
        <v>1.0</v>
      </c>
      <c r="AF12" s="59"/>
      <c r="AG12" s="33"/>
    </row>
    <row r="13" ht="20.25" customHeight="1">
      <c r="A13" s="33"/>
      <c r="B13" s="60" t="s">
        <v>84</v>
      </c>
      <c r="C13" s="66" t="s">
        <v>85</v>
      </c>
      <c r="D13" s="61" t="s">
        <v>86</v>
      </c>
      <c r="E13" s="55" t="s">
        <v>87</v>
      </c>
      <c r="F13" s="56">
        <f t="shared" ref="F13:G13" si="8">SUM(I13,K13,M13,O13,Q13,S13,U13,W13,Y13,AA13,AC13,AE13)</f>
        <v>11.2</v>
      </c>
      <c r="G13" s="56">
        <f t="shared" si="8"/>
        <v>2.2</v>
      </c>
      <c r="H13" s="62">
        <f t="shared" si="3"/>
        <v>9</v>
      </c>
      <c r="I13" s="57">
        <v>0.2</v>
      </c>
      <c r="J13" s="58">
        <v>0.2</v>
      </c>
      <c r="K13" s="63">
        <v>1.0</v>
      </c>
      <c r="L13" s="58">
        <v>1.0</v>
      </c>
      <c r="M13" s="63">
        <v>1.0</v>
      </c>
      <c r="N13" s="58">
        <v>1.0</v>
      </c>
      <c r="O13" s="63">
        <v>1.0</v>
      </c>
      <c r="P13" s="58"/>
      <c r="Q13" s="63">
        <v>1.0</v>
      </c>
      <c r="R13" s="58"/>
      <c r="S13" s="63">
        <v>1.0</v>
      </c>
      <c r="T13" s="58"/>
      <c r="U13" s="63">
        <v>1.0</v>
      </c>
      <c r="V13" s="58"/>
      <c r="W13" s="63">
        <v>1.0</v>
      </c>
      <c r="X13" s="58"/>
      <c r="Y13" s="63">
        <v>1.0</v>
      </c>
      <c r="Z13" s="58"/>
      <c r="AA13" s="63">
        <v>1.0</v>
      </c>
      <c r="AB13" s="58"/>
      <c r="AC13" s="63">
        <v>1.0</v>
      </c>
      <c r="AD13" s="58"/>
      <c r="AE13" s="63">
        <v>1.0</v>
      </c>
      <c r="AF13" s="59"/>
      <c r="AG13" s="33"/>
    </row>
    <row r="14" ht="20.25" customHeight="1">
      <c r="A14" s="33"/>
      <c r="B14" s="60" t="s">
        <v>88</v>
      </c>
      <c r="C14" s="66" t="s">
        <v>89</v>
      </c>
      <c r="D14" s="61" t="s">
        <v>90</v>
      </c>
      <c r="E14" s="55" t="s">
        <v>91</v>
      </c>
      <c r="F14" s="56">
        <f t="shared" ref="F14:G14" si="9">SUM(I14,K14,M14,O14,Q14,S14,U14,W14,Y14,AA14,AC14,AE14)</f>
        <v>5.6</v>
      </c>
      <c r="G14" s="56">
        <f t="shared" si="9"/>
        <v>1.1</v>
      </c>
      <c r="H14" s="62">
        <f t="shared" si="3"/>
        <v>4.5</v>
      </c>
      <c r="I14" s="57">
        <v>0.1</v>
      </c>
      <c r="J14" s="58">
        <v>0.1</v>
      </c>
      <c r="K14" s="63">
        <v>0.5</v>
      </c>
      <c r="L14" s="58">
        <v>0.5</v>
      </c>
      <c r="M14" s="63">
        <v>0.5</v>
      </c>
      <c r="N14" s="58">
        <v>0.5</v>
      </c>
      <c r="O14" s="63">
        <v>0.5</v>
      </c>
      <c r="P14" s="58"/>
      <c r="Q14" s="63">
        <v>0.5</v>
      </c>
      <c r="R14" s="58"/>
      <c r="S14" s="63">
        <v>0.5</v>
      </c>
      <c r="T14" s="58"/>
      <c r="U14" s="63">
        <v>0.5</v>
      </c>
      <c r="V14" s="58"/>
      <c r="W14" s="63">
        <v>0.5</v>
      </c>
      <c r="X14" s="58"/>
      <c r="Y14" s="63">
        <v>0.5</v>
      </c>
      <c r="Z14" s="58"/>
      <c r="AA14" s="63">
        <v>0.5</v>
      </c>
      <c r="AB14" s="58"/>
      <c r="AC14" s="63">
        <v>0.5</v>
      </c>
      <c r="AD14" s="58"/>
      <c r="AE14" s="63">
        <v>0.5</v>
      </c>
      <c r="AF14" s="59"/>
      <c r="AG14" s="33"/>
    </row>
    <row r="15" ht="20.25" customHeight="1">
      <c r="A15" s="33"/>
      <c r="B15" s="64" t="s">
        <v>92</v>
      </c>
      <c r="C15" s="65" t="s">
        <v>93</v>
      </c>
      <c r="D15" s="61" t="s">
        <v>94</v>
      </c>
      <c r="E15" s="55" t="s">
        <v>95</v>
      </c>
      <c r="F15" s="56">
        <f t="shared" ref="F15:G15" si="10">SUM(I15,K15,M15,O15,Q15,S15,U15,W15,Y15,AA15,AC15,AE15)</f>
        <v>5.6</v>
      </c>
      <c r="G15" s="56">
        <f t="shared" si="10"/>
        <v>1.1</v>
      </c>
      <c r="H15" s="62">
        <f t="shared" si="3"/>
        <v>4.5</v>
      </c>
      <c r="I15" s="57">
        <v>0.1</v>
      </c>
      <c r="J15" s="58">
        <v>0.1</v>
      </c>
      <c r="K15" s="63">
        <v>0.5</v>
      </c>
      <c r="L15" s="58">
        <v>0.5</v>
      </c>
      <c r="M15" s="63">
        <v>0.5</v>
      </c>
      <c r="N15" s="58">
        <v>0.5</v>
      </c>
      <c r="O15" s="63">
        <v>0.5</v>
      </c>
      <c r="P15" s="58"/>
      <c r="Q15" s="63">
        <v>0.5</v>
      </c>
      <c r="R15" s="58"/>
      <c r="S15" s="63">
        <v>0.5</v>
      </c>
      <c r="T15" s="58"/>
      <c r="U15" s="63">
        <v>0.5</v>
      </c>
      <c r="V15" s="58"/>
      <c r="W15" s="63">
        <v>0.5</v>
      </c>
      <c r="X15" s="58"/>
      <c r="Y15" s="63">
        <v>0.5</v>
      </c>
      <c r="Z15" s="58"/>
      <c r="AA15" s="63">
        <v>0.5</v>
      </c>
      <c r="AB15" s="58"/>
      <c r="AC15" s="63">
        <v>0.5</v>
      </c>
      <c r="AD15" s="58"/>
      <c r="AE15" s="63">
        <v>0.5</v>
      </c>
      <c r="AF15" s="59"/>
      <c r="AG15" s="33"/>
    </row>
    <row r="16" ht="20.25" customHeight="1">
      <c r="A16" s="33"/>
      <c r="B16" s="60" t="s">
        <v>96</v>
      </c>
      <c r="C16" s="66" t="s">
        <v>97</v>
      </c>
      <c r="D16" s="61" t="s">
        <v>98</v>
      </c>
      <c r="E16" s="55" t="s">
        <v>99</v>
      </c>
      <c r="F16" s="56">
        <f t="shared" ref="F16:G16" si="11">SUM(I16,K16,M16,O16,Q16,S16,U16,W16,Y16,AA16,AC16,AE16)</f>
        <v>5</v>
      </c>
      <c r="G16" s="56">
        <f t="shared" si="11"/>
        <v>0.5</v>
      </c>
      <c r="H16" s="62">
        <f t="shared" si="3"/>
        <v>4.5</v>
      </c>
      <c r="I16" s="57"/>
      <c r="J16" s="58"/>
      <c r="K16" s="63"/>
      <c r="L16" s="58"/>
      <c r="M16" s="67">
        <v>0.5</v>
      </c>
      <c r="N16" s="68">
        <v>0.5</v>
      </c>
      <c r="O16" s="63">
        <v>0.5</v>
      </c>
      <c r="P16" s="58"/>
      <c r="Q16" s="63">
        <v>0.5</v>
      </c>
      <c r="R16" s="58"/>
      <c r="S16" s="63">
        <v>0.5</v>
      </c>
      <c r="T16" s="58"/>
      <c r="U16" s="63">
        <v>0.5</v>
      </c>
      <c r="V16" s="58"/>
      <c r="W16" s="63">
        <v>0.5</v>
      </c>
      <c r="X16" s="58"/>
      <c r="Y16" s="63">
        <v>0.5</v>
      </c>
      <c r="Z16" s="58"/>
      <c r="AA16" s="63">
        <v>0.5</v>
      </c>
      <c r="AB16" s="58"/>
      <c r="AC16" s="63">
        <v>0.5</v>
      </c>
      <c r="AD16" s="58"/>
      <c r="AE16" s="63">
        <v>0.5</v>
      </c>
      <c r="AF16" s="59"/>
      <c r="AG16" s="33"/>
    </row>
    <row r="17" ht="20.25" customHeight="1">
      <c r="A17" s="33"/>
      <c r="B17" s="60" t="s">
        <v>100</v>
      </c>
      <c r="C17" s="66" t="s">
        <v>101</v>
      </c>
      <c r="D17" s="61" t="s">
        <v>102</v>
      </c>
      <c r="E17" s="55" t="s">
        <v>103</v>
      </c>
      <c r="F17" s="56">
        <f t="shared" ref="F17:G17" si="12">SUM(I17,K17,M17,O17,Q17,S17,U17,W17,Y17,AA17,AC17,AE17)</f>
        <v>10</v>
      </c>
      <c r="G17" s="56">
        <f t="shared" si="12"/>
        <v>1</v>
      </c>
      <c r="H17" s="62">
        <f t="shared" si="3"/>
        <v>9</v>
      </c>
      <c r="I17" s="57"/>
      <c r="J17" s="58"/>
      <c r="K17" s="63"/>
      <c r="L17" s="58"/>
      <c r="M17" s="63">
        <v>1.0</v>
      </c>
      <c r="N17" s="58">
        <v>1.0</v>
      </c>
      <c r="O17" s="63">
        <v>1.0</v>
      </c>
      <c r="P17" s="58"/>
      <c r="Q17" s="63">
        <v>1.0</v>
      </c>
      <c r="R17" s="58"/>
      <c r="S17" s="63">
        <v>1.0</v>
      </c>
      <c r="T17" s="58"/>
      <c r="U17" s="63">
        <v>1.0</v>
      </c>
      <c r="V17" s="58"/>
      <c r="W17" s="63">
        <v>1.0</v>
      </c>
      <c r="X17" s="58"/>
      <c r="Y17" s="63">
        <v>1.0</v>
      </c>
      <c r="Z17" s="58"/>
      <c r="AA17" s="63">
        <v>1.0</v>
      </c>
      <c r="AB17" s="58"/>
      <c r="AC17" s="63">
        <v>1.0</v>
      </c>
      <c r="AD17" s="58"/>
      <c r="AE17" s="63">
        <v>1.0</v>
      </c>
      <c r="AF17" s="59"/>
      <c r="AG17" s="33"/>
    </row>
    <row r="18" ht="20.25" customHeight="1">
      <c r="A18" s="33"/>
      <c r="B18" s="60" t="s">
        <v>104</v>
      </c>
      <c r="C18" s="66" t="s">
        <v>105</v>
      </c>
      <c r="D18" s="61" t="s">
        <v>106</v>
      </c>
      <c r="E18" s="55" t="s">
        <v>107</v>
      </c>
      <c r="F18" s="56">
        <f t="shared" ref="F18:G18" si="13">SUM(I18,K18,M18,O18,Q18,S18,U18,W18,Y18,AA18,AC18,AE18)</f>
        <v>10</v>
      </c>
      <c r="G18" s="56">
        <f t="shared" si="13"/>
        <v>1</v>
      </c>
      <c r="H18" s="62">
        <f t="shared" si="3"/>
        <v>9</v>
      </c>
      <c r="I18" s="57"/>
      <c r="J18" s="58"/>
      <c r="K18" s="63"/>
      <c r="L18" s="58"/>
      <c r="M18" s="63">
        <v>1.0</v>
      </c>
      <c r="N18" s="58">
        <v>1.0</v>
      </c>
      <c r="O18" s="63">
        <v>1.0</v>
      </c>
      <c r="P18" s="58"/>
      <c r="Q18" s="63">
        <v>1.0</v>
      </c>
      <c r="R18" s="58"/>
      <c r="S18" s="63">
        <v>1.0</v>
      </c>
      <c r="T18" s="58"/>
      <c r="U18" s="63">
        <v>1.0</v>
      </c>
      <c r="V18" s="58"/>
      <c r="W18" s="63">
        <v>1.0</v>
      </c>
      <c r="X18" s="58"/>
      <c r="Y18" s="63">
        <v>1.0</v>
      </c>
      <c r="Z18" s="58"/>
      <c r="AA18" s="63">
        <v>1.0</v>
      </c>
      <c r="AB18" s="58"/>
      <c r="AC18" s="63">
        <v>1.0</v>
      </c>
      <c r="AD18" s="58"/>
      <c r="AE18" s="63">
        <v>1.0</v>
      </c>
      <c r="AF18" s="59"/>
      <c r="AG18" s="33"/>
    </row>
    <row r="19" ht="32.25" customHeight="1">
      <c r="A19" s="33"/>
      <c r="B19" s="69" t="s">
        <v>108</v>
      </c>
      <c r="C19" s="70"/>
      <c r="D19" s="70"/>
      <c r="E19" s="71"/>
      <c r="F19" s="72">
        <f t="shared" ref="F19:G19" si="14">SUM(F7:F18)</f>
        <v>114.6</v>
      </c>
      <c r="G19" s="72">
        <f t="shared" si="14"/>
        <v>20.1</v>
      </c>
      <c r="H19" s="72">
        <f>SUM(H7:H15)</f>
        <v>72</v>
      </c>
      <c r="I19" s="73">
        <f t="shared" ref="I19:AF19" si="15">SUM(I7:I18)</f>
        <v>1.6</v>
      </c>
      <c r="J19" s="74">
        <f t="shared" si="15"/>
        <v>1.6</v>
      </c>
      <c r="K19" s="73">
        <f t="shared" si="15"/>
        <v>8</v>
      </c>
      <c r="L19" s="74">
        <f t="shared" si="15"/>
        <v>8</v>
      </c>
      <c r="M19" s="73">
        <f t="shared" si="15"/>
        <v>10.5</v>
      </c>
      <c r="N19" s="74">
        <f t="shared" si="15"/>
        <v>10.5</v>
      </c>
      <c r="O19" s="73">
        <f t="shared" si="15"/>
        <v>10.5</v>
      </c>
      <c r="P19" s="74">
        <f t="shared" si="15"/>
        <v>0</v>
      </c>
      <c r="Q19" s="73">
        <f t="shared" si="15"/>
        <v>10.5</v>
      </c>
      <c r="R19" s="74">
        <f t="shared" si="15"/>
        <v>0</v>
      </c>
      <c r="S19" s="73">
        <f t="shared" si="15"/>
        <v>10.5</v>
      </c>
      <c r="T19" s="74">
        <f t="shared" si="15"/>
        <v>0</v>
      </c>
      <c r="U19" s="73">
        <f t="shared" si="15"/>
        <v>10.5</v>
      </c>
      <c r="V19" s="74">
        <f t="shared" si="15"/>
        <v>0</v>
      </c>
      <c r="W19" s="73">
        <f t="shared" si="15"/>
        <v>10.5</v>
      </c>
      <c r="X19" s="74">
        <f t="shared" si="15"/>
        <v>0</v>
      </c>
      <c r="Y19" s="73">
        <f t="shared" si="15"/>
        <v>10.5</v>
      </c>
      <c r="Z19" s="74">
        <f t="shared" si="15"/>
        <v>0</v>
      </c>
      <c r="AA19" s="73">
        <f t="shared" si="15"/>
        <v>10.5</v>
      </c>
      <c r="AB19" s="74">
        <f t="shared" si="15"/>
        <v>0</v>
      </c>
      <c r="AC19" s="73">
        <f t="shared" si="15"/>
        <v>10.5</v>
      </c>
      <c r="AD19" s="74">
        <f t="shared" si="15"/>
        <v>0</v>
      </c>
      <c r="AE19" s="73">
        <f t="shared" si="15"/>
        <v>10.5</v>
      </c>
      <c r="AF19" s="75">
        <f t="shared" si="15"/>
        <v>0</v>
      </c>
      <c r="AG19" s="33"/>
    </row>
    <row r="20" ht="16.5" customHeight="1">
      <c r="A20" s="33"/>
      <c r="B20" s="34"/>
      <c r="C20" s="34"/>
      <c r="D20" s="34"/>
      <c r="E20" s="33"/>
      <c r="F20" s="34"/>
      <c r="G20" s="34"/>
      <c r="H20" s="34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 ht="16.5" customHeight="1">
      <c r="A21" s="33"/>
      <c r="B21" s="34"/>
      <c r="C21" s="34"/>
      <c r="D21" s="34"/>
      <c r="E21" s="33"/>
      <c r="F21" s="34"/>
      <c r="G21" s="34"/>
      <c r="H21" s="34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</row>
    <row r="22" ht="16.5" customHeight="1">
      <c r="A22" s="33"/>
      <c r="B22" s="34"/>
      <c r="C22" s="34"/>
      <c r="D22" s="34"/>
      <c r="E22" s="33"/>
      <c r="F22" s="34"/>
      <c r="G22" s="34"/>
      <c r="H22" s="34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</row>
    <row r="23" ht="16.5" customHeight="1">
      <c r="A23" s="33"/>
      <c r="B23" s="34"/>
      <c r="C23" s="34"/>
      <c r="D23" s="34"/>
      <c r="E23" s="33"/>
      <c r="F23" s="34"/>
      <c r="G23" s="34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ht="16.5" customHeight="1">
      <c r="A24" s="33"/>
      <c r="B24" s="34"/>
      <c r="C24" s="34"/>
      <c r="D24" s="34"/>
      <c r="E24" s="33"/>
      <c r="F24" s="34"/>
      <c r="G24" s="34"/>
      <c r="H24" s="34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ht="16.5" customHeight="1">
      <c r="A25" s="33"/>
      <c r="B25" s="34"/>
      <c r="C25" s="34"/>
      <c r="D25" s="34"/>
      <c r="E25" s="33"/>
      <c r="F25" s="34"/>
      <c r="G25" s="34"/>
      <c r="H25" s="34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 ht="16.5" customHeight="1">
      <c r="A26" s="33"/>
      <c r="B26" s="34"/>
      <c r="C26" s="34"/>
      <c r="D26" s="34"/>
      <c r="E26" s="33"/>
      <c r="F26" s="34"/>
      <c r="G26" s="34"/>
      <c r="H26" s="34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 ht="16.5" customHeight="1">
      <c r="A27" s="33"/>
      <c r="B27" s="34"/>
      <c r="C27" s="34"/>
      <c r="D27" s="34"/>
      <c r="E27" s="33"/>
      <c r="F27" s="34"/>
      <c r="G27" s="34"/>
      <c r="H27" s="34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ht="16.5" customHeight="1">
      <c r="A28" s="33"/>
      <c r="B28" s="34"/>
      <c r="C28" s="34"/>
      <c r="D28" s="34"/>
      <c r="E28" s="33"/>
      <c r="F28" s="34"/>
      <c r="G28" s="34"/>
      <c r="H28" s="34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 ht="16.5" customHeight="1">
      <c r="A29" s="33"/>
      <c r="B29" s="34"/>
      <c r="C29" s="34"/>
      <c r="D29" s="34"/>
      <c r="E29" s="33"/>
      <c r="F29" s="34"/>
      <c r="G29" s="34"/>
      <c r="H29" s="34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</row>
    <row r="30" ht="16.5" customHeight="1">
      <c r="A30" s="33"/>
      <c r="B30" s="34"/>
      <c r="C30" s="34"/>
      <c r="D30" s="34"/>
      <c r="E30" s="33"/>
      <c r="F30" s="34"/>
      <c r="G30" s="34"/>
      <c r="H30" s="34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</row>
    <row r="31" ht="16.5" customHeight="1">
      <c r="A31" s="33"/>
      <c r="B31" s="34"/>
      <c r="C31" s="34"/>
      <c r="D31" s="34"/>
      <c r="E31" s="33"/>
      <c r="F31" s="34"/>
      <c r="G31" s="34"/>
      <c r="H31" s="34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</row>
    <row r="32" ht="16.5" customHeight="1">
      <c r="A32" s="33"/>
      <c r="B32" s="34"/>
      <c r="C32" s="34"/>
      <c r="D32" s="34"/>
      <c r="E32" s="33"/>
      <c r="F32" s="34"/>
      <c r="G32" s="34"/>
      <c r="H32" s="34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</row>
    <row r="33" ht="16.5" customHeight="1">
      <c r="A33" s="33"/>
      <c r="B33" s="34"/>
      <c r="C33" s="34"/>
      <c r="D33" s="34"/>
      <c r="E33" s="33"/>
      <c r="F33" s="34"/>
      <c r="G33" s="34"/>
      <c r="H33" s="34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</row>
    <row r="34" ht="16.5" customHeight="1">
      <c r="A34" s="33"/>
      <c r="B34" s="34"/>
      <c r="C34" s="34"/>
      <c r="D34" s="34"/>
      <c r="E34" s="33"/>
      <c r="F34" s="34"/>
      <c r="G34" s="34"/>
      <c r="H34" s="34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</row>
    <row r="35" ht="16.5" customHeight="1">
      <c r="A35" s="33"/>
      <c r="B35" s="34"/>
      <c r="C35" s="34"/>
      <c r="D35" s="34"/>
      <c r="E35" s="33"/>
      <c r="F35" s="34"/>
      <c r="G35" s="34"/>
      <c r="H35" s="34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</row>
    <row r="36" ht="16.5" customHeight="1">
      <c r="A36" s="33"/>
      <c r="B36" s="34"/>
      <c r="C36" s="34"/>
      <c r="D36" s="34"/>
      <c r="E36" s="33"/>
      <c r="F36" s="34"/>
      <c r="G36" s="34"/>
      <c r="H36" s="34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</row>
    <row r="37" ht="16.5" customHeight="1">
      <c r="A37" s="33"/>
      <c r="B37" s="34"/>
      <c r="C37" s="34"/>
      <c r="D37" s="34"/>
      <c r="E37" s="33"/>
      <c r="F37" s="34"/>
      <c r="G37" s="34"/>
      <c r="H37" s="34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</row>
    <row r="38" ht="16.5" customHeight="1">
      <c r="A38" s="33"/>
      <c r="B38" s="34"/>
      <c r="C38" s="34"/>
      <c r="D38" s="34"/>
      <c r="E38" s="33"/>
      <c r="F38" s="34"/>
      <c r="G38" s="34"/>
      <c r="H38" s="34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</row>
    <row r="39" ht="16.5" customHeight="1">
      <c r="A39" s="33"/>
      <c r="B39" s="34"/>
      <c r="C39" s="34"/>
      <c r="D39" s="34"/>
      <c r="E39" s="33"/>
      <c r="F39" s="34"/>
      <c r="G39" s="34"/>
      <c r="H39" s="34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</row>
    <row r="40" ht="16.5" customHeight="1">
      <c r="A40" s="33"/>
      <c r="B40" s="34"/>
      <c r="C40" s="34"/>
      <c r="D40" s="34"/>
      <c r="E40" s="33"/>
      <c r="F40" s="34"/>
      <c r="G40" s="34"/>
      <c r="H40" s="34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</row>
    <row r="41" ht="16.5" customHeight="1">
      <c r="A41" s="33"/>
      <c r="B41" s="34"/>
      <c r="C41" s="34"/>
      <c r="D41" s="34"/>
      <c r="E41" s="33"/>
      <c r="F41" s="34"/>
      <c r="G41" s="34"/>
      <c r="H41" s="34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</row>
    <row r="42" ht="16.5" customHeight="1">
      <c r="A42" s="33"/>
      <c r="B42" s="34"/>
      <c r="C42" s="34"/>
      <c r="D42" s="34"/>
      <c r="E42" s="33"/>
      <c r="F42" s="34"/>
      <c r="G42" s="34"/>
      <c r="H42" s="34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</row>
    <row r="43" ht="16.5" customHeight="1">
      <c r="A43" s="33"/>
      <c r="B43" s="34"/>
      <c r="C43" s="34"/>
      <c r="D43" s="34"/>
      <c r="E43" s="33"/>
      <c r="F43" s="34"/>
      <c r="G43" s="34"/>
      <c r="H43" s="34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</row>
    <row r="44" ht="16.5" customHeight="1">
      <c r="A44" s="33"/>
      <c r="B44" s="34"/>
      <c r="C44" s="34"/>
      <c r="D44" s="34"/>
      <c r="E44" s="33"/>
      <c r="F44" s="34"/>
      <c r="G44" s="34"/>
      <c r="H44" s="34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</row>
    <row r="45" ht="16.5" customHeight="1">
      <c r="A45" s="33"/>
      <c r="B45" s="34"/>
      <c r="C45" s="34"/>
      <c r="D45" s="34"/>
      <c r="E45" s="33"/>
      <c r="F45" s="34"/>
      <c r="G45" s="34"/>
      <c r="H45" s="34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</row>
    <row r="46" ht="16.5" customHeight="1">
      <c r="A46" s="33"/>
      <c r="B46" s="34"/>
      <c r="C46" s="34"/>
      <c r="D46" s="34"/>
      <c r="E46" s="33"/>
      <c r="F46" s="34"/>
      <c r="G46" s="34"/>
      <c r="H46" s="34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</row>
    <row r="47" ht="16.5" customHeight="1">
      <c r="A47" s="33"/>
      <c r="B47" s="34"/>
      <c r="C47" s="34"/>
      <c r="D47" s="34"/>
      <c r="E47" s="33"/>
      <c r="F47" s="34"/>
      <c r="G47" s="34"/>
      <c r="H47" s="34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</row>
    <row r="48" ht="16.5" customHeight="1">
      <c r="A48" s="33"/>
      <c r="B48" s="34"/>
      <c r="C48" s="34"/>
      <c r="D48" s="34"/>
      <c r="E48" s="33"/>
      <c r="F48" s="34"/>
      <c r="G48" s="34"/>
      <c r="H48" s="34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</row>
    <row r="49" ht="16.5" customHeight="1">
      <c r="A49" s="33"/>
      <c r="B49" s="34"/>
      <c r="C49" s="34"/>
      <c r="D49" s="34"/>
      <c r="E49" s="33"/>
      <c r="F49" s="34"/>
      <c r="G49" s="34"/>
      <c r="H49" s="34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</row>
    <row r="50" ht="16.5" customHeight="1">
      <c r="A50" s="33"/>
      <c r="B50" s="34"/>
      <c r="C50" s="34"/>
      <c r="D50" s="34"/>
      <c r="E50" s="33"/>
      <c r="F50" s="34"/>
      <c r="G50" s="34"/>
      <c r="H50" s="34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</row>
    <row r="51" ht="16.5" customHeight="1">
      <c r="A51" s="33"/>
      <c r="B51" s="34"/>
      <c r="C51" s="34"/>
      <c r="D51" s="34"/>
      <c r="E51" s="33"/>
      <c r="F51" s="34"/>
      <c r="G51" s="34"/>
      <c r="H51" s="34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</row>
    <row r="52" ht="16.5" customHeight="1">
      <c r="A52" s="33"/>
      <c r="B52" s="34"/>
      <c r="C52" s="34"/>
      <c r="D52" s="34"/>
      <c r="E52" s="33"/>
      <c r="F52" s="34"/>
      <c r="G52" s="34"/>
      <c r="H52" s="34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</row>
    <row r="53" ht="16.5" customHeight="1">
      <c r="A53" s="33"/>
      <c r="B53" s="34"/>
      <c r="C53" s="34"/>
      <c r="D53" s="34"/>
      <c r="E53" s="33"/>
      <c r="F53" s="34"/>
      <c r="G53" s="34"/>
      <c r="H53" s="34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</row>
    <row r="54" ht="16.5" customHeight="1">
      <c r="A54" s="33"/>
      <c r="B54" s="34"/>
      <c r="C54" s="34"/>
      <c r="D54" s="34"/>
      <c r="E54" s="33"/>
      <c r="F54" s="34"/>
      <c r="G54" s="34"/>
      <c r="H54" s="34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</row>
    <row r="55" ht="16.5" customHeight="1">
      <c r="A55" s="33"/>
      <c r="B55" s="34"/>
      <c r="C55" s="34"/>
      <c r="D55" s="34"/>
      <c r="E55" s="33"/>
      <c r="F55" s="34"/>
      <c r="G55" s="34"/>
      <c r="H55" s="34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</row>
    <row r="56" ht="16.5" customHeight="1">
      <c r="A56" s="33"/>
      <c r="B56" s="34"/>
      <c r="C56" s="34"/>
      <c r="D56" s="34"/>
      <c r="E56" s="33"/>
      <c r="F56" s="34"/>
      <c r="G56" s="34"/>
      <c r="H56" s="34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</row>
    <row r="57" ht="16.5" customHeight="1">
      <c r="A57" s="33"/>
      <c r="B57" s="34"/>
      <c r="C57" s="34"/>
      <c r="D57" s="34"/>
      <c r="E57" s="33"/>
      <c r="F57" s="34"/>
      <c r="G57" s="34"/>
      <c r="H57" s="34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</row>
    <row r="58" ht="16.5" customHeight="1">
      <c r="A58" s="33"/>
      <c r="B58" s="34"/>
      <c r="C58" s="34"/>
      <c r="D58" s="34"/>
      <c r="E58" s="33"/>
      <c r="F58" s="34"/>
      <c r="G58" s="34"/>
      <c r="H58" s="34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</row>
    <row r="59" ht="16.5" customHeight="1">
      <c r="A59" s="33"/>
      <c r="B59" s="34"/>
      <c r="C59" s="34"/>
      <c r="D59" s="34"/>
      <c r="E59" s="33"/>
      <c r="F59" s="34"/>
      <c r="G59" s="34"/>
      <c r="H59" s="34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</row>
    <row r="60" ht="16.5" customHeight="1">
      <c r="A60" s="33"/>
      <c r="B60" s="34"/>
      <c r="C60" s="34"/>
      <c r="D60" s="34"/>
      <c r="E60" s="33"/>
      <c r="F60" s="34"/>
      <c r="G60" s="34"/>
      <c r="H60" s="34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</row>
    <row r="61" ht="16.5" customHeight="1">
      <c r="A61" s="33"/>
      <c r="B61" s="34"/>
      <c r="C61" s="34"/>
      <c r="D61" s="34"/>
      <c r="E61" s="33"/>
      <c r="F61" s="34"/>
      <c r="G61" s="34"/>
      <c r="H61" s="34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</row>
    <row r="62" ht="16.5" customHeight="1">
      <c r="A62" s="33"/>
      <c r="B62" s="34"/>
      <c r="C62" s="34"/>
      <c r="D62" s="34"/>
      <c r="E62" s="33"/>
      <c r="F62" s="34"/>
      <c r="G62" s="34"/>
      <c r="H62" s="34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</row>
    <row r="63" ht="16.5" customHeight="1">
      <c r="A63" s="33"/>
      <c r="B63" s="34"/>
      <c r="C63" s="34"/>
      <c r="D63" s="34"/>
      <c r="E63" s="33"/>
      <c r="F63" s="34"/>
      <c r="G63" s="34"/>
      <c r="H63" s="34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</row>
    <row r="64" ht="16.5" customHeight="1">
      <c r="A64" s="33"/>
      <c r="B64" s="34"/>
      <c r="C64" s="34"/>
      <c r="D64" s="34"/>
      <c r="E64" s="33"/>
      <c r="F64" s="34"/>
      <c r="G64" s="34"/>
      <c r="H64" s="34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</row>
    <row r="65" ht="16.5" customHeight="1">
      <c r="A65" s="33"/>
      <c r="B65" s="34"/>
      <c r="C65" s="34"/>
      <c r="D65" s="34"/>
      <c r="E65" s="33"/>
      <c r="F65" s="34"/>
      <c r="G65" s="34"/>
      <c r="H65" s="34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</row>
    <row r="66" ht="16.5" customHeight="1">
      <c r="A66" s="33"/>
      <c r="B66" s="34"/>
      <c r="C66" s="34"/>
      <c r="D66" s="34"/>
      <c r="E66" s="33"/>
      <c r="F66" s="34"/>
      <c r="G66" s="34"/>
      <c r="H66" s="34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</row>
    <row r="67" ht="16.5" customHeight="1">
      <c r="A67" s="33"/>
      <c r="B67" s="34"/>
      <c r="C67" s="34"/>
      <c r="D67" s="34"/>
      <c r="E67" s="33"/>
      <c r="F67" s="34"/>
      <c r="G67" s="34"/>
      <c r="H67" s="34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</row>
    <row r="68" ht="16.5" customHeight="1">
      <c r="A68" s="33"/>
      <c r="B68" s="34"/>
      <c r="C68" s="34"/>
      <c r="D68" s="34"/>
      <c r="E68" s="33"/>
      <c r="F68" s="34"/>
      <c r="G68" s="34"/>
      <c r="H68" s="34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</row>
    <row r="69" ht="16.5" customHeight="1">
      <c r="A69" s="33"/>
      <c r="B69" s="34"/>
      <c r="C69" s="34"/>
      <c r="D69" s="34"/>
      <c r="E69" s="33"/>
      <c r="F69" s="34"/>
      <c r="G69" s="34"/>
      <c r="H69" s="34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</row>
    <row r="70" ht="16.5" customHeight="1">
      <c r="A70" s="33"/>
      <c r="B70" s="34"/>
      <c r="C70" s="34"/>
      <c r="D70" s="34"/>
      <c r="E70" s="33"/>
      <c r="F70" s="34"/>
      <c r="G70" s="34"/>
      <c r="H70" s="34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</row>
    <row r="71" ht="16.5" customHeight="1">
      <c r="A71" s="33"/>
      <c r="B71" s="34"/>
      <c r="C71" s="34"/>
      <c r="D71" s="34"/>
      <c r="E71" s="33"/>
      <c r="F71" s="34"/>
      <c r="G71" s="34"/>
      <c r="H71" s="34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</row>
    <row r="72" ht="16.5" customHeight="1">
      <c r="A72" s="33"/>
      <c r="B72" s="34"/>
      <c r="C72" s="34"/>
      <c r="D72" s="34"/>
      <c r="E72" s="33"/>
      <c r="F72" s="34"/>
      <c r="G72" s="34"/>
      <c r="H72" s="34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</row>
    <row r="73" ht="16.5" customHeight="1">
      <c r="A73" s="33"/>
      <c r="B73" s="34"/>
      <c r="C73" s="34"/>
      <c r="D73" s="34"/>
      <c r="E73" s="33"/>
      <c r="F73" s="34"/>
      <c r="G73" s="34"/>
      <c r="H73" s="34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</row>
    <row r="74" ht="16.5" customHeight="1">
      <c r="A74" s="33"/>
      <c r="B74" s="34"/>
      <c r="C74" s="34"/>
      <c r="D74" s="34"/>
      <c r="E74" s="33"/>
      <c r="F74" s="34"/>
      <c r="G74" s="34"/>
      <c r="H74" s="34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</row>
    <row r="75" ht="16.5" customHeight="1">
      <c r="A75" s="33"/>
      <c r="B75" s="34"/>
      <c r="C75" s="34"/>
      <c r="D75" s="34"/>
      <c r="E75" s="33"/>
      <c r="F75" s="34"/>
      <c r="G75" s="34"/>
      <c r="H75" s="34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</row>
    <row r="76" ht="16.5" customHeight="1">
      <c r="A76" s="33"/>
      <c r="B76" s="34"/>
      <c r="C76" s="34"/>
      <c r="D76" s="34"/>
      <c r="E76" s="33"/>
      <c r="F76" s="34"/>
      <c r="G76" s="34"/>
      <c r="H76" s="34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</row>
    <row r="77" ht="16.5" customHeight="1">
      <c r="A77" s="33"/>
      <c r="B77" s="34"/>
      <c r="C77" s="34"/>
      <c r="D77" s="34"/>
      <c r="E77" s="33"/>
      <c r="F77" s="34"/>
      <c r="G77" s="34"/>
      <c r="H77" s="34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</row>
    <row r="78" ht="16.5" customHeight="1">
      <c r="A78" s="33"/>
      <c r="B78" s="34"/>
      <c r="C78" s="34"/>
      <c r="D78" s="34"/>
      <c r="E78" s="33"/>
      <c r="F78" s="34"/>
      <c r="G78" s="34"/>
      <c r="H78" s="34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</row>
    <row r="79" ht="16.5" customHeight="1">
      <c r="A79" s="33"/>
      <c r="B79" s="34"/>
      <c r="C79" s="34"/>
      <c r="D79" s="34"/>
      <c r="E79" s="33"/>
      <c r="F79" s="34"/>
      <c r="G79" s="34"/>
      <c r="H79" s="34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</row>
    <row r="80" ht="16.5" customHeight="1">
      <c r="A80" s="33"/>
      <c r="B80" s="34"/>
      <c r="C80" s="34"/>
      <c r="D80" s="34"/>
      <c r="E80" s="33"/>
      <c r="F80" s="34"/>
      <c r="G80" s="34"/>
      <c r="H80" s="34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</row>
    <row r="81" ht="16.5" customHeight="1">
      <c r="A81" s="33"/>
      <c r="B81" s="34"/>
      <c r="C81" s="34"/>
      <c r="D81" s="34"/>
      <c r="E81" s="33"/>
      <c r="F81" s="34"/>
      <c r="G81" s="34"/>
      <c r="H81" s="34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</row>
    <row r="82" ht="16.5" customHeight="1">
      <c r="A82" s="33"/>
      <c r="B82" s="34"/>
      <c r="C82" s="34"/>
      <c r="D82" s="34"/>
      <c r="E82" s="33"/>
      <c r="F82" s="34"/>
      <c r="G82" s="34"/>
      <c r="H82" s="34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</row>
    <row r="83" ht="16.5" customHeight="1">
      <c r="A83" s="33"/>
      <c r="B83" s="34"/>
      <c r="C83" s="34"/>
      <c r="D83" s="34"/>
      <c r="E83" s="33"/>
      <c r="F83" s="34"/>
      <c r="G83" s="34"/>
      <c r="H83" s="34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</row>
    <row r="84" ht="16.5" customHeight="1">
      <c r="A84" s="33"/>
      <c r="B84" s="34"/>
      <c r="C84" s="34"/>
      <c r="D84" s="34"/>
      <c r="E84" s="33"/>
      <c r="F84" s="34"/>
      <c r="G84" s="34"/>
      <c r="H84" s="34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</row>
    <row r="85" ht="16.5" customHeight="1">
      <c r="A85" s="33"/>
      <c r="B85" s="34"/>
      <c r="C85" s="34"/>
      <c r="D85" s="34"/>
      <c r="E85" s="33"/>
      <c r="F85" s="34"/>
      <c r="G85" s="34"/>
      <c r="H85" s="34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</row>
    <row r="86" ht="16.5" customHeight="1">
      <c r="A86" s="33"/>
      <c r="B86" s="34"/>
      <c r="C86" s="34"/>
      <c r="D86" s="34"/>
      <c r="E86" s="33"/>
      <c r="F86" s="34"/>
      <c r="G86" s="34"/>
      <c r="H86" s="34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</row>
    <row r="87" ht="16.5" customHeight="1">
      <c r="A87" s="33"/>
      <c r="B87" s="34"/>
      <c r="C87" s="34"/>
      <c r="D87" s="34"/>
      <c r="E87" s="33"/>
      <c r="F87" s="34"/>
      <c r="G87" s="34"/>
      <c r="H87" s="34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</row>
    <row r="88" ht="16.5" customHeight="1">
      <c r="A88" s="33"/>
      <c r="B88" s="34"/>
      <c r="C88" s="34"/>
      <c r="D88" s="34"/>
      <c r="E88" s="33"/>
      <c r="F88" s="34"/>
      <c r="G88" s="34"/>
      <c r="H88" s="34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</row>
    <row r="89" ht="16.5" customHeight="1">
      <c r="A89" s="33"/>
      <c r="B89" s="34"/>
      <c r="C89" s="34"/>
      <c r="D89" s="34"/>
      <c r="E89" s="33"/>
      <c r="F89" s="34"/>
      <c r="G89" s="34"/>
      <c r="H89" s="34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</row>
    <row r="90" ht="16.5" customHeight="1">
      <c r="A90" s="33"/>
      <c r="B90" s="34"/>
      <c r="C90" s="34"/>
      <c r="D90" s="34"/>
      <c r="E90" s="33"/>
      <c r="F90" s="34"/>
      <c r="G90" s="34"/>
      <c r="H90" s="34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</row>
    <row r="91" ht="16.5" customHeight="1">
      <c r="A91" s="33"/>
      <c r="B91" s="34"/>
      <c r="C91" s="34"/>
      <c r="D91" s="34"/>
      <c r="E91" s="33"/>
      <c r="F91" s="34"/>
      <c r="G91" s="34"/>
      <c r="H91" s="34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</row>
    <row r="92" ht="16.5" customHeight="1">
      <c r="A92" s="33"/>
      <c r="B92" s="34"/>
      <c r="C92" s="34"/>
      <c r="D92" s="34"/>
      <c r="E92" s="33"/>
      <c r="F92" s="34"/>
      <c r="G92" s="34"/>
      <c r="H92" s="34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</row>
    <row r="93" ht="16.5" customHeight="1">
      <c r="A93" s="33"/>
      <c r="B93" s="34"/>
      <c r="C93" s="34"/>
      <c r="D93" s="34"/>
      <c r="E93" s="33"/>
      <c r="F93" s="34"/>
      <c r="G93" s="34"/>
      <c r="H93" s="34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</row>
    <row r="94" ht="16.5" customHeight="1">
      <c r="A94" s="33"/>
      <c r="B94" s="34"/>
      <c r="C94" s="34"/>
      <c r="D94" s="34"/>
      <c r="E94" s="33"/>
      <c r="F94" s="34"/>
      <c r="G94" s="34"/>
      <c r="H94" s="34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</row>
    <row r="95" ht="16.5" customHeight="1">
      <c r="A95" s="33"/>
      <c r="B95" s="34"/>
      <c r="C95" s="34"/>
      <c r="D95" s="34"/>
      <c r="E95" s="33"/>
      <c r="F95" s="34"/>
      <c r="G95" s="34"/>
      <c r="H95" s="34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</row>
    <row r="96" ht="16.5" customHeight="1">
      <c r="A96" s="33"/>
      <c r="B96" s="34"/>
      <c r="C96" s="34"/>
      <c r="D96" s="34"/>
      <c r="E96" s="33"/>
      <c r="F96" s="34"/>
      <c r="G96" s="34"/>
      <c r="H96" s="34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</row>
    <row r="97" ht="16.5" customHeight="1">
      <c r="A97" s="33"/>
      <c r="B97" s="34"/>
      <c r="C97" s="34"/>
      <c r="D97" s="34"/>
      <c r="E97" s="33"/>
      <c r="F97" s="34"/>
      <c r="G97" s="34"/>
      <c r="H97" s="34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</row>
    <row r="98" ht="16.5" customHeight="1">
      <c r="A98" s="33"/>
      <c r="B98" s="34"/>
      <c r="C98" s="34"/>
      <c r="D98" s="34"/>
      <c r="E98" s="33"/>
      <c r="F98" s="34"/>
      <c r="G98" s="34"/>
      <c r="H98" s="34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</row>
    <row r="99" ht="16.5" customHeight="1">
      <c r="A99" s="33"/>
      <c r="B99" s="34"/>
      <c r="C99" s="34"/>
      <c r="D99" s="34"/>
      <c r="E99" s="33"/>
      <c r="F99" s="34"/>
      <c r="G99" s="34"/>
      <c r="H99" s="34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</row>
    <row r="100" ht="16.5" customHeight="1">
      <c r="A100" s="33"/>
      <c r="B100" s="34"/>
      <c r="C100" s="34"/>
      <c r="D100" s="34"/>
      <c r="E100" s="33"/>
      <c r="F100" s="34"/>
      <c r="G100" s="34"/>
      <c r="H100" s="34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</row>
    <row r="101" ht="16.5" customHeight="1">
      <c r="A101" s="33"/>
      <c r="B101" s="34"/>
      <c r="C101" s="34"/>
      <c r="D101" s="34"/>
      <c r="E101" s="33"/>
      <c r="F101" s="34"/>
      <c r="G101" s="34"/>
      <c r="H101" s="34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</row>
    <row r="102" ht="16.5" customHeight="1">
      <c r="A102" s="33"/>
      <c r="B102" s="34"/>
      <c r="C102" s="34"/>
      <c r="D102" s="34"/>
      <c r="E102" s="33"/>
      <c r="F102" s="34"/>
      <c r="G102" s="34"/>
      <c r="H102" s="34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</row>
    <row r="103" ht="16.5" customHeight="1">
      <c r="A103" s="33"/>
      <c r="B103" s="34"/>
      <c r="C103" s="34"/>
      <c r="D103" s="34"/>
      <c r="E103" s="33"/>
      <c r="F103" s="34"/>
      <c r="G103" s="34"/>
      <c r="H103" s="34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</row>
    <row r="104" ht="16.5" customHeight="1">
      <c r="A104" s="33"/>
      <c r="B104" s="34"/>
      <c r="C104" s="34"/>
      <c r="D104" s="34"/>
      <c r="E104" s="33"/>
      <c r="F104" s="34"/>
      <c r="G104" s="34"/>
      <c r="H104" s="34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</row>
    <row r="105" ht="16.5" customHeight="1">
      <c r="A105" s="33"/>
      <c r="B105" s="34"/>
      <c r="C105" s="34"/>
      <c r="D105" s="34"/>
      <c r="E105" s="33"/>
      <c r="F105" s="34"/>
      <c r="G105" s="34"/>
      <c r="H105" s="34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</row>
    <row r="106" ht="16.5" customHeight="1">
      <c r="A106" s="33"/>
      <c r="B106" s="34"/>
      <c r="C106" s="34"/>
      <c r="D106" s="34"/>
      <c r="E106" s="33"/>
      <c r="F106" s="34"/>
      <c r="G106" s="34"/>
      <c r="H106" s="34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</row>
    <row r="107" ht="16.5" customHeight="1">
      <c r="A107" s="33"/>
      <c r="B107" s="34"/>
      <c r="C107" s="34"/>
      <c r="D107" s="34"/>
      <c r="E107" s="33"/>
      <c r="F107" s="34"/>
      <c r="G107" s="34"/>
      <c r="H107" s="34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</row>
    <row r="108" ht="16.5" customHeight="1">
      <c r="A108" s="33"/>
      <c r="B108" s="34"/>
      <c r="C108" s="34"/>
      <c r="D108" s="34"/>
      <c r="E108" s="33"/>
      <c r="F108" s="34"/>
      <c r="G108" s="34"/>
      <c r="H108" s="34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</row>
    <row r="109" ht="16.5" customHeight="1">
      <c r="A109" s="33"/>
      <c r="B109" s="34"/>
      <c r="C109" s="34"/>
      <c r="D109" s="34"/>
      <c r="E109" s="33"/>
      <c r="F109" s="34"/>
      <c r="G109" s="34"/>
      <c r="H109" s="34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</row>
    <row r="110" ht="16.5" customHeight="1">
      <c r="A110" s="33"/>
      <c r="B110" s="34"/>
      <c r="C110" s="34"/>
      <c r="D110" s="34"/>
      <c r="E110" s="33"/>
      <c r="F110" s="34"/>
      <c r="G110" s="34"/>
      <c r="H110" s="34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</row>
    <row r="111" ht="16.5" customHeight="1">
      <c r="A111" s="33"/>
      <c r="B111" s="34"/>
      <c r="C111" s="34"/>
      <c r="D111" s="34"/>
      <c r="E111" s="33"/>
      <c r="F111" s="34"/>
      <c r="G111" s="34"/>
      <c r="H111" s="34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</row>
    <row r="112" ht="16.5" customHeight="1">
      <c r="A112" s="33"/>
      <c r="B112" s="34"/>
      <c r="C112" s="34"/>
      <c r="D112" s="34"/>
      <c r="E112" s="33"/>
      <c r="F112" s="34"/>
      <c r="G112" s="34"/>
      <c r="H112" s="34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</row>
    <row r="113" ht="16.5" customHeight="1">
      <c r="A113" s="33"/>
      <c r="B113" s="34"/>
      <c r="C113" s="34"/>
      <c r="D113" s="34"/>
      <c r="E113" s="33"/>
      <c r="F113" s="34"/>
      <c r="G113" s="34"/>
      <c r="H113" s="34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</row>
    <row r="114" ht="16.5" customHeight="1">
      <c r="A114" s="33"/>
      <c r="B114" s="34"/>
      <c r="C114" s="34"/>
      <c r="D114" s="34"/>
      <c r="E114" s="33"/>
      <c r="F114" s="34"/>
      <c r="G114" s="34"/>
      <c r="H114" s="34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</row>
    <row r="115" ht="16.5" customHeight="1">
      <c r="A115" s="33"/>
      <c r="B115" s="34"/>
      <c r="C115" s="34"/>
      <c r="D115" s="34"/>
      <c r="E115" s="33"/>
      <c r="F115" s="34"/>
      <c r="G115" s="34"/>
      <c r="H115" s="34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</row>
    <row r="116" ht="16.5" customHeight="1">
      <c r="A116" s="33"/>
      <c r="B116" s="34"/>
      <c r="C116" s="34"/>
      <c r="D116" s="34"/>
      <c r="E116" s="33"/>
      <c r="F116" s="34"/>
      <c r="G116" s="34"/>
      <c r="H116" s="34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</row>
    <row r="117" ht="16.5" customHeight="1">
      <c r="A117" s="33"/>
      <c r="B117" s="34"/>
      <c r="C117" s="34"/>
      <c r="D117" s="34"/>
      <c r="E117" s="33"/>
      <c r="F117" s="34"/>
      <c r="G117" s="34"/>
      <c r="H117" s="34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</row>
    <row r="118" ht="16.5" customHeight="1">
      <c r="A118" s="33"/>
      <c r="B118" s="34"/>
      <c r="C118" s="34"/>
      <c r="D118" s="34"/>
      <c r="E118" s="33"/>
      <c r="F118" s="34"/>
      <c r="G118" s="34"/>
      <c r="H118" s="34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</row>
    <row r="119" ht="16.5" customHeight="1">
      <c r="A119" s="33"/>
      <c r="B119" s="34"/>
      <c r="C119" s="34"/>
      <c r="D119" s="34"/>
      <c r="E119" s="33"/>
      <c r="F119" s="34"/>
      <c r="G119" s="34"/>
      <c r="H119" s="34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</row>
    <row r="120" ht="16.5" customHeight="1">
      <c r="A120" s="33"/>
      <c r="B120" s="34"/>
      <c r="C120" s="34"/>
      <c r="D120" s="34"/>
      <c r="E120" s="33"/>
      <c r="F120" s="34"/>
      <c r="G120" s="34"/>
      <c r="H120" s="34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</row>
    <row r="121" ht="16.5" customHeight="1">
      <c r="A121" s="33"/>
      <c r="B121" s="34"/>
      <c r="C121" s="34"/>
      <c r="D121" s="34"/>
      <c r="E121" s="33"/>
      <c r="F121" s="34"/>
      <c r="G121" s="34"/>
      <c r="H121" s="34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</row>
    <row r="122" ht="16.5" customHeight="1">
      <c r="A122" s="33"/>
      <c r="B122" s="34"/>
      <c r="C122" s="34"/>
      <c r="D122" s="34"/>
      <c r="E122" s="33"/>
      <c r="F122" s="34"/>
      <c r="G122" s="34"/>
      <c r="H122" s="34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</row>
    <row r="123" ht="16.5" customHeight="1">
      <c r="A123" s="33"/>
      <c r="B123" s="34"/>
      <c r="C123" s="34"/>
      <c r="D123" s="34"/>
      <c r="E123" s="33"/>
      <c r="F123" s="34"/>
      <c r="G123" s="34"/>
      <c r="H123" s="34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</row>
    <row r="124" ht="16.5" customHeight="1">
      <c r="A124" s="33"/>
      <c r="B124" s="34"/>
      <c r="C124" s="34"/>
      <c r="D124" s="34"/>
      <c r="E124" s="33"/>
      <c r="F124" s="34"/>
      <c r="G124" s="34"/>
      <c r="H124" s="34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</row>
    <row r="125" ht="16.5" customHeight="1">
      <c r="A125" s="33"/>
      <c r="B125" s="34"/>
      <c r="C125" s="34"/>
      <c r="D125" s="34"/>
      <c r="E125" s="33"/>
      <c r="F125" s="34"/>
      <c r="G125" s="34"/>
      <c r="H125" s="34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</row>
    <row r="126" ht="16.5" customHeight="1">
      <c r="A126" s="33"/>
      <c r="B126" s="34"/>
      <c r="C126" s="34"/>
      <c r="D126" s="34"/>
      <c r="E126" s="33"/>
      <c r="F126" s="34"/>
      <c r="G126" s="34"/>
      <c r="H126" s="34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</row>
    <row r="127" ht="16.5" customHeight="1">
      <c r="A127" s="33"/>
      <c r="B127" s="34"/>
      <c r="C127" s="34"/>
      <c r="D127" s="34"/>
      <c r="E127" s="33"/>
      <c r="F127" s="34"/>
      <c r="G127" s="34"/>
      <c r="H127" s="34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</row>
    <row r="128" ht="16.5" customHeight="1">
      <c r="A128" s="33"/>
      <c r="B128" s="34"/>
      <c r="C128" s="34"/>
      <c r="D128" s="34"/>
      <c r="E128" s="33"/>
      <c r="F128" s="34"/>
      <c r="G128" s="34"/>
      <c r="H128" s="34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</row>
    <row r="129" ht="16.5" customHeight="1">
      <c r="A129" s="33"/>
      <c r="B129" s="34"/>
      <c r="C129" s="34"/>
      <c r="D129" s="34"/>
      <c r="E129" s="33"/>
      <c r="F129" s="34"/>
      <c r="G129" s="34"/>
      <c r="H129" s="34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</row>
    <row r="130" ht="16.5" customHeight="1">
      <c r="A130" s="33"/>
      <c r="B130" s="34"/>
      <c r="C130" s="34"/>
      <c r="D130" s="34"/>
      <c r="E130" s="33"/>
      <c r="F130" s="34"/>
      <c r="G130" s="34"/>
      <c r="H130" s="34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</row>
    <row r="131" ht="16.5" customHeight="1">
      <c r="A131" s="33"/>
      <c r="B131" s="34"/>
      <c r="C131" s="34"/>
      <c r="D131" s="34"/>
      <c r="E131" s="33"/>
      <c r="F131" s="34"/>
      <c r="G131" s="34"/>
      <c r="H131" s="34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</row>
    <row r="132" ht="16.5" customHeight="1">
      <c r="A132" s="33"/>
      <c r="B132" s="34"/>
      <c r="C132" s="34"/>
      <c r="D132" s="34"/>
      <c r="E132" s="33"/>
      <c r="F132" s="34"/>
      <c r="G132" s="34"/>
      <c r="H132" s="34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</row>
    <row r="133" ht="16.5" customHeight="1">
      <c r="A133" s="33"/>
      <c r="B133" s="34"/>
      <c r="C133" s="34"/>
      <c r="D133" s="34"/>
      <c r="E133" s="33"/>
      <c r="F133" s="34"/>
      <c r="G133" s="34"/>
      <c r="H133" s="34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</row>
    <row r="134" ht="16.5" customHeight="1">
      <c r="A134" s="33"/>
      <c r="B134" s="34"/>
      <c r="C134" s="34"/>
      <c r="D134" s="34"/>
      <c r="E134" s="33"/>
      <c r="F134" s="34"/>
      <c r="G134" s="34"/>
      <c r="H134" s="34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</row>
    <row r="135" ht="16.5" customHeight="1">
      <c r="A135" s="33"/>
      <c r="B135" s="34"/>
      <c r="C135" s="34"/>
      <c r="D135" s="34"/>
      <c r="E135" s="33"/>
      <c r="F135" s="34"/>
      <c r="G135" s="34"/>
      <c r="H135" s="34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</row>
    <row r="136" ht="16.5" customHeight="1">
      <c r="A136" s="33"/>
      <c r="B136" s="34"/>
      <c r="C136" s="34"/>
      <c r="D136" s="34"/>
      <c r="E136" s="33"/>
      <c r="F136" s="34"/>
      <c r="G136" s="34"/>
      <c r="H136" s="34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</row>
    <row r="137" ht="16.5" customHeight="1">
      <c r="A137" s="33"/>
      <c r="B137" s="34"/>
      <c r="C137" s="34"/>
      <c r="D137" s="34"/>
      <c r="E137" s="33"/>
      <c r="F137" s="34"/>
      <c r="G137" s="34"/>
      <c r="H137" s="34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</row>
    <row r="138" ht="16.5" customHeight="1">
      <c r="A138" s="33"/>
      <c r="B138" s="34"/>
      <c r="C138" s="34"/>
      <c r="D138" s="34"/>
      <c r="E138" s="33"/>
      <c r="F138" s="34"/>
      <c r="G138" s="34"/>
      <c r="H138" s="34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</row>
    <row r="139" ht="16.5" customHeight="1">
      <c r="A139" s="33"/>
      <c r="B139" s="34"/>
      <c r="C139" s="34"/>
      <c r="D139" s="34"/>
      <c r="E139" s="33"/>
      <c r="F139" s="34"/>
      <c r="G139" s="34"/>
      <c r="H139" s="34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</row>
    <row r="140" ht="16.5" customHeight="1">
      <c r="A140" s="33"/>
      <c r="B140" s="34"/>
      <c r="C140" s="34"/>
      <c r="D140" s="34"/>
      <c r="E140" s="33"/>
      <c r="F140" s="34"/>
      <c r="G140" s="34"/>
      <c r="H140" s="34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</row>
    <row r="141" ht="16.5" customHeight="1">
      <c r="A141" s="33"/>
      <c r="B141" s="34"/>
      <c r="C141" s="34"/>
      <c r="D141" s="34"/>
      <c r="E141" s="33"/>
      <c r="F141" s="34"/>
      <c r="G141" s="34"/>
      <c r="H141" s="34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</row>
    <row r="142" ht="16.5" customHeight="1">
      <c r="A142" s="33"/>
      <c r="B142" s="34"/>
      <c r="C142" s="34"/>
      <c r="D142" s="34"/>
      <c r="E142" s="33"/>
      <c r="F142" s="34"/>
      <c r="G142" s="34"/>
      <c r="H142" s="34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</row>
    <row r="143" ht="16.5" customHeight="1">
      <c r="A143" s="33"/>
      <c r="B143" s="34"/>
      <c r="C143" s="34"/>
      <c r="D143" s="34"/>
      <c r="E143" s="33"/>
      <c r="F143" s="34"/>
      <c r="G143" s="34"/>
      <c r="H143" s="34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</row>
    <row r="144" ht="16.5" customHeight="1">
      <c r="A144" s="33"/>
      <c r="B144" s="34"/>
      <c r="C144" s="34"/>
      <c r="D144" s="34"/>
      <c r="E144" s="33"/>
      <c r="F144" s="34"/>
      <c r="G144" s="34"/>
      <c r="H144" s="34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</row>
    <row r="145" ht="16.5" customHeight="1">
      <c r="A145" s="33"/>
      <c r="B145" s="34"/>
      <c r="C145" s="34"/>
      <c r="D145" s="34"/>
      <c r="E145" s="33"/>
      <c r="F145" s="34"/>
      <c r="G145" s="34"/>
      <c r="H145" s="34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</row>
    <row r="146" ht="16.5" customHeight="1">
      <c r="A146" s="33"/>
      <c r="B146" s="34"/>
      <c r="C146" s="34"/>
      <c r="D146" s="34"/>
      <c r="E146" s="33"/>
      <c r="F146" s="34"/>
      <c r="G146" s="34"/>
      <c r="H146" s="34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</row>
    <row r="147" ht="16.5" customHeight="1">
      <c r="A147" s="33"/>
      <c r="B147" s="34"/>
      <c r="C147" s="34"/>
      <c r="D147" s="34"/>
      <c r="E147" s="33"/>
      <c r="F147" s="34"/>
      <c r="G147" s="34"/>
      <c r="H147" s="34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</row>
    <row r="148" ht="16.5" customHeight="1">
      <c r="A148" s="33"/>
      <c r="B148" s="34"/>
      <c r="C148" s="34"/>
      <c r="D148" s="34"/>
      <c r="E148" s="33"/>
      <c r="F148" s="34"/>
      <c r="G148" s="34"/>
      <c r="H148" s="34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</row>
    <row r="149" ht="16.5" customHeight="1">
      <c r="A149" s="33"/>
      <c r="B149" s="34"/>
      <c r="C149" s="34"/>
      <c r="D149" s="34"/>
      <c r="E149" s="33"/>
      <c r="F149" s="34"/>
      <c r="G149" s="34"/>
      <c r="H149" s="34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</row>
    <row r="150" ht="16.5" customHeight="1">
      <c r="A150" s="33"/>
      <c r="B150" s="34"/>
      <c r="C150" s="34"/>
      <c r="D150" s="34"/>
      <c r="E150" s="33"/>
      <c r="F150" s="34"/>
      <c r="G150" s="34"/>
      <c r="H150" s="34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</row>
    <row r="151" ht="16.5" customHeight="1">
      <c r="A151" s="33"/>
      <c r="B151" s="34"/>
      <c r="C151" s="34"/>
      <c r="D151" s="34"/>
      <c r="E151" s="33"/>
      <c r="F151" s="34"/>
      <c r="G151" s="34"/>
      <c r="H151" s="34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</row>
    <row r="152" ht="16.5" customHeight="1">
      <c r="A152" s="33"/>
      <c r="B152" s="34"/>
      <c r="C152" s="34"/>
      <c r="D152" s="34"/>
      <c r="E152" s="33"/>
      <c r="F152" s="34"/>
      <c r="G152" s="34"/>
      <c r="H152" s="34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</row>
    <row r="153" ht="16.5" customHeight="1">
      <c r="A153" s="33"/>
      <c r="B153" s="34"/>
      <c r="C153" s="34"/>
      <c r="D153" s="34"/>
      <c r="E153" s="33"/>
      <c r="F153" s="34"/>
      <c r="G153" s="34"/>
      <c r="H153" s="34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</row>
    <row r="154" ht="16.5" customHeight="1">
      <c r="A154" s="33"/>
      <c r="B154" s="34"/>
      <c r="C154" s="34"/>
      <c r="D154" s="34"/>
      <c r="E154" s="33"/>
      <c r="F154" s="34"/>
      <c r="G154" s="34"/>
      <c r="H154" s="34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</row>
    <row r="155" ht="16.5" customHeight="1">
      <c r="A155" s="33"/>
      <c r="B155" s="34"/>
      <c r="C155" s="34"/>
      <c r="D155" s="34"/>
      <c r="E155" s="33"/>
      <c r="F155" s="34"/>
      <c r="G155" s="34"/>
      <c r="H155" s="34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</row>
    <row r="156" ht="16.5" customHeight="1">
      <c r="A156" s="33"/>
      <c r="B156" s="34"/>
      <c r="C156" s="34"/>
      <c r="D156" s="34"/>
      <c r="E156" s="33"/>
      <c r="F156" s="34"/>
      <c r="G156" s="34"/>
      <c r="H156" s="34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</row>
    <row r="157" ht="16.5" customHeight="1">
      <c r="A157" s="33"/>
      <c r="B157" s="34"/>
      <c r="C157" s="34"/>
      <c r="D157" s="34"/>
      <c r="E157" s="33"/>
      <c r="F157" s="34"/>
      <c r="G157" s="34"/>
      <c r="H157" s="34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</row>
    <row r="158" ht="16.5" customHeight="1">
      <c r="A158" s="33"/>
      <c r="B158" s="34"/>
      <c r="C158" s="34"/>
      <c r="D158" s="34"/>
      <c r="E158" s="33"/>
      <c r="F158" s="34"/>
      <c r="G158" s="34"/>
      <c r="H158" s="34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</row>
    <row r="159" ht="16.5" customHeight="1">
      <c r="A159" s="33"/>
      <c r="B159" s="34"/>
      <c r="C159" s="34"/>
      <c r="D159" s="34"/>
      <c r="E159" s="33"/>
      <c r="F159" s="34"/>
      <c r="G159" s="34"/>
      <c r="H159" s="34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</row>
    <row r="160" ht="16.5" customHeight="1">
      <c r="A160" s="33"/>
      <c r="B160" s="34"/>
      <c r="C160" s="34"/>
      <c r="D160" s="34"/>
      <c r="E160" s="33"/>
      <c r="F160" s="34"/>
      <c r="G160" s="34"/>
      <c r="H160" s="34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</row>
    <row r="161" ht="16.5" customHeight="1">
      <c r="A161" s="33"/>
      <c r="B161" s="34"/>
      <c r="C161" s="34"/>
      <c r="D161" s="34"/>
      <c r="E161" s="33"/>
      <c r="F161" s="34"/>
      <c r="G161" s="34"/>
      <c r="H161" s="34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</row>
    <row r="162" ht="16.5" customHeight="1">
      <c r="A162" s="33"/>
      <c r="B162" s="34"/>
      <c r="C162" s="34"/>
      <c r="D162" s="34"/>
      <c r="E162" s="33"/>
      <c r="F162" s="34"/>
      <c r="G162" s="34"/>
      <c r="H162" s="34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</row>
    <row r="163" ht="16.5" customHeight="1">
      <c r="A163" s="33"/>
      <c r="B163" s="34"/>
      <c r="C163" s="34"/>
      <c r="D163" s="34"/>
      <c r="E163" s="33"/>
      <c r="F163" s="34"/>
      <c r="G163" s="34"/>
      <c r="H163" s="34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</row>
    <row r="164" ht="16.5" customHeight="1">
      <c r="A164" s="33"/>
      <c r="B164" s="34"/>
      <c r="C164" s="34"/>
      <c r="D164" s="34"/>
      <c r="E164" s="33"/>
      <c r="F164" s="34"/>
      <c r="G164" s="34"/>
      <c r="H164" s="34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</row>
    <row r="165" ht="16.5" customHeight="1">
      <c r="A165" s="33"/>
      <c r="B165" s="34"/>
      <c r="C165" s="34"/>
      <c r="D165" s="34"/>
      <c r="E165" s="33"/>
      <c r="F165" s="34"/>
      <c r="G165" s="34"/>
      <c r="H165" s="34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</row>
    <row r="166" ht="16.5" customHeight="1">
      <c r="A166" s="33"/>
      <c r="B166" s="34"/>
      <c r="C166" s="34"/>
      <c r="D166" s="34"/>
      <c r="E166" s="33"/>
      <c r="F166" s="34"/>
      <c r="G166" s="34"/>
      <c r="H166" s="34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</row>
    <row r="167" ht="16.5" customHeight="1">
      <c r="A167" s="33"/>
      <c r="B167" s="34"/>
      <c r="C167" s="34"/>
      <c r="D167" s="34"/>
      <c r="E167" s="33"/>
      <c r="F167" s="34"/>
      <c r="G167" s="34"/>
      <c r="H167" s="34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</row>
    <row r="168" ht="16.5" customHeight="1">
      <c r="A168" s="33"/>
      <c r="B168" s="34"/>
      <c r="C168" s="34"/>
      <c r="D168" s="34"/>
      <c r="E168" s="33"/>
      <c r="F168" s="34"/>
      <c r="G168" s="34"/>
      <c r="H168" s="34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</row>
    <row r="169" ht="16.5" customHeight="1">
      <c r="A169" s="33"/>
      <c r="B169" s="34"/>
      <c r="C169" s="34"/>
      <c r="D169" s="34"/>
      <c r="E169" s="33"/>
      <c r="F169" s="34"/>
      <c r="G169" s="34"/>
      <c r="H169" s="34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</row>
    <row r="170" ht="16.5" customHeight="1">
      <c r="A170" s="33"/>
      <c r="B170" s="34"/>
      <c r="C170" s="34"/>
      <c r="D170" s="34"/>
      <c r="E170" s="33"/>
      <c r="F170" s="34"/>
      <c r="G170" s="34"/>
      <c r="H170" s="34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</row>
    <row r="171" ht="16.5" customHeight="1">
      <c r="A171" s="33"/>
      <c r="B171" s="34"/>
      <c r="C171" s="34"/>
      <c r="D171" s="34"/>
      <c r="E171" s="33"/>
      <c r="F171" s="34"/>
      <c r="G171" s="34"/>
      <c r="H171" s="34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</row>
    <row r="172" ht="16.5" customHeight="1">
      <c r="A172" s="33"/>
      <c r="B172" s="34"/>
      <c r="C172" s="34"/>
      <c r="D172" s="34"/>
      <c r="E172" s="33"/>
      <c r="F172" s="34"/>
      <c r="G172" s="34"/>
      <c r="H172" s="34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</row>
    <row r="173" ht="16.5" customHeight="1">
      <c r="A173" s="33"/>
      <c r="B173" s="34"/>
      <c r="C173" s="34"/>
      <c r="D173" s="34"/>
      <c r="E173" s="33"/>
      <c r="F173" s="34"/>
      <c r="G173" s="34"/>
      <c r="H173" s="34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</row>
    <row r="174" ht="16.5" customHeight="1">
      <c r="A174" s="33"/>
      <c r="B174" s="34"/>
      <c r="C174" s="34"/>
      <c r="D174" s="34"/>
      <c r="E174" s="33"/>
      <c r="F174" s="34"/>
      <c r="G174" s="34"/>
      <c r="H174" s="34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</row>
    <row r="175" ht="16.5" customHeight="1">
      <c r="A175" s="33"/>
      <c r="B175" s="34"/>
      <c r="C175" s="34"/>
      <c r="D175" s="34"/>
      <c r="E175" s="33"/>
      <c r="F175" s="34"/>
      <c r="G175" s="34"/>
      <c r="H175" s="34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</row>
    <row r="176" ht="16.5" customHeight="1">
      <c r="A176" s="33"/>
      <c r="B176" s="34"/>
      <c r="C176" s="34"/>
      <c r="D176" s="34"/>
      <c r="E176" s="33"/>
      <c r="F176" s="34"/>
      <c r="G176" s="34"/>
      <c r="H176" s="34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</row>
    <row r="177" ht="16.5" customHeight="1">
      <c r="A177" s="33"/>
      <c r="B177" s="34"/>
      <c r="C177" s="34"/>
      <c r="D177" s="34"/>
      <c r="E177" s="33"/>
      <c r="F177" s="34"/>
      <c r="G177" s="34"/>
      <c r="H177" s="34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</row>
    <row r="178" ht="16.5" customHeight="1">
      <c r="A178" s="33"/>
      <c r="B178" s="34"/>
      <c r="C178" s="34"/>
      <c r="D178" s="34"/>
      <c r="E178" s="33"/>
      <c r="F178" s="34"/>
      <c r="G178" s="34"/>
      <c r="H178" s="34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</row>
    <row r="179" ht="16.5" customHeight="1">
      <c r="A179" s="33"/>
      <c r="B179" s="34"/>
      <c r="C179" s="34"/>
      <c r="D179" s="34"/>
      <c r="E179" s="33"/>
      <c r="F179" s="34"/>
      <c r="G179" s="34"/>
      <c r="H179" s="34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</row>
    <row r="180" ht="16.5" customHeight="1">
      <c r="A180" s="33"/>
      <c r="B180" s="34"/>
      <c r="C180" s="34"/>
      <c r="D180" s="34"/>
      <c r="E180" s="33"/>
      <c r="F180" s="34"/>
      <c r="G180" s="34"/>
      <c r="H180" s="34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</row>
    <row r="181" ht="16.5" customHeight="1">
      <c r="A181" s="33"/>
      <c r="B181" s="34"/>
      <c r="C181" s="34"/>
      <c r="D181" s="34"/>
      <c r="E181" s="33"/>
      <c r="F181" s="34"/>
      <c r="G181" s="34"/>
      <c r="H181" s="34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</row>
    <row r="182" ht="16.5" customHeight="1">
      <c r="A182" s="33"/>
      <c r="B182" s="34"/>
      <c r="C182" s="34"/>
      <c r="D182" s="34"/>
      <c r="E182" s="33"/>
      <c r="F182" s="34"/>
      <c r="G182" s="34"/>
      <c r="H182" s="34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</row>
    <row r="183" ht="16.5" customHeight="1">
      <c r="A183" s="33"/>
      <c r="B183" s="34"/>
      <c r="C183" s="34"/>
      <c r="D183" s="34"/>
      <c r="E183" s="33"/>
      <c r="F183" s="34"/>
      <c r="G183" s="34"/>
      <c r="H183" s="34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</row>
    <row r="184" ht="16.5" customHeight="1">
      <c r="A184" s="33"/>
      <c r="B184" s="34"/>
      <c r="C184" s="34"/>
      <c r="D184" s="34"/>
      <c r="E184" s="33"/>
      <c r="F184" s="34"/>
      <c r="G184" s="34"/>
      <c r="H184" s="34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</row>
    <row r="185" ht="16.5" customHeight="1">
      <c r="A185" s="33"/>
      <c r="B185" s="34"/>
      <c r="C185" s="34"/>
      <c r="D185" s="34"/>
      <c r="E185" s="33"/>
      <c r="F185" s="34"/>
      <c r="G185" s="34"/>
      <c r="H185" s="34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</row>
    <row r="186" ht="16.5" customHeight="1">
      <c r="A186" s="33"/>
      <c r="B186" s="34"/>
      <c r="C186" s="34"/>
      <c r="D186" s="34"/>
      <c r="E186" s="33"/>
      <c r="F186" s="34"/>
      <c r="G186" s="34"/>
      <c r="H186" s="34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</row>
    <row r="187" ht="16.5" customHeight="1">
      <c r="A187" s="33"/>
      <c r="B187" s="34"/>
      <c r="C187" s="34"/>
      <c r="D187" s="34"/>
      <c r="E187" s="33"/>
      <c r="F187" s="34"/>
      <c r="G187" s="34"/>
      <c r="H187" s="34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</row>
    <row r="188" ht="16.5" customHeight="1">
      <c r="A188" s="33"/>
      <c r="B188" s="34"/>
      <c r="C188" s="34"/>
      <c r="D188" s="34"/>
      <c r="E188" s="33"/>
      <c r="F188" s="34"/>
      <c r="G188" s="34"/>
      <c r="H188" s="34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</row>
    <row r="189" ht="16.5" customHeight="1">
      <c r="A189" s="33"/>
      <c r="B189" s="34"/>
      <c r="C189" s="34"/>
      <c r="D189" s="34"/>
      <c r="E189" s="33"/>
      <c r="F189" s="34"/>
      <c r="G189" s="34"/>
      <c r="H189" s="34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</row>
    <row r="190" ht="16.5" customHeight="1">
      <c r="A190" s="33"/>
      <c r="B190" s="34"/>
      <c r="C190" s="34"/>
      <c r="D190" s="34"/>
      <c r="E190" s="33"/>
      <c r="F190" s="34"/>
      <c r="G190" s="34"/>
      <c r="H190" s="34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</row>
    <row r="191" ht="16.5" customHeight="1">
      <c r="A191" s="33"/>
      <c r="B191" s="34"/>
      <c r="C191" s="34"/>
      <c r="D191" s="34"/>
      <c r="E191" s="33"/>
      <c r="F191" s="34"/>
      <c r="G191" s="34"/>
      <c r="H191" s="34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</row>
    <row r="192" ht="16.5" customHeight="1">
      <c r="A192" s="33"/>
      <c r="B192" s="34"/>
      <c r="C192" s="34"/>
      <c r="D192" s="34"/>
      <c r="E192" s="33"/>
      <c r="F192" s="34"/>
      <c r="G192" s="34"/>
      <c r="H192" s="34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</row>
    <row r="193" ht="16.5" customHeight="1">
      <c r="A193" s="33"/>
      <c r="B193" s="34"/>
      <c r="C193" s="34"/>
      <c r="D193" s="34"/>
      <c r="E193" s="33"/>
      <c r="F193" s="34"/>
      <c r="G193" s="34"/>
      <c r="H193" s="34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</row>
    <row r="194" ht="16.5" customHeight="1">
      <c r="A194" s="33"/>
      <c r="B194" s="34"/>
      <c r="C194" s="34"/>
      <c r="D194" s="34"/>
      <c r="E194" s="33"/>
      <c r="F194" s="34"/>
      <c r="G194" s="34"/>
      <c r="H194" s="34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</row>
    <row r="195" ht="16.5" customHeight="1">
      <c r="A195" s="33"/>
      <c r="B195" s="34"/>
      <c r="C195" s="34"/>
      <c r="D195" s="34"/>
      <c r="E195" s="33"/>
      <c r="F195" s="34"/>
      <c r="G195" s="34"/>
      <c r="H195" s="34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</row>
    <row r="196" ht="16.5" customHeight="1">
      <c r="A196" s="33"/>
      <c r="B196" s="34"/>
      <c r="C196" s="34"/>
      <c r="D196" s="34"/>
      <c r="E196" s="33"/>
      <c r="F196" s="34"/>
      <c r="G196" s="34"/>
      <c r="H196" s="34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</row>
    <row r="197" ht="16.5" customHeight="1">
      <c r="A197" s="33"/>
      <c r="B197" s="34"/>
      <c r="C197" s="34"/>
      <c r="D197" s="34"/>
      <c r="E197" s="33"/>
      <c r="F197" s="34"/>
      <c r="G197" s="34"/>
      <c r="H197" s="34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</row>
    <row r="198" ht="16.5" customHeight="1">
      <c r="A198" s="33"/>
      <c r="B198" s="34"/>
      <c r="C198" s="34"/>
      <c r="D198" s="34"/>
      <c r="E198" s="33"/>
      <c r="F198" s="34"/>
      <c r="G198" s="34"/>
      <c r="H198" s="34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</row>
    <row r="199" ht="16.5" customHeight="1">
      <c r="A199" s="33"/>
      <c r="B199" s="34"/>
      <c r="C199" s="34"/>
      <c r="D199" s="34"/>
      <c r="E199" s="33"/>
      <c r="F199" s="34"/>
      <c r="G199" s="34"/>
      <c r="H199" s="34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</row>
    <row r="200" ht="16.5" customHeight="1">
      <c r="A200" s="33"/>
      <c r="B200" s="34"/>
      <c r="C200" s="34"/>
      <c r="D200" s="34"/>
      <c r="E200" s="33"/>
      <c r="F200" s="34"/>
      <c r="G200" s="34"/>
      <c r="H200" s="34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</row>
    <row r="201" ht="16.5" customHeight="1">
      <c r="A201" s="33"/>
      <c r="B201" s="34"/>
      <c r="C201" s="34"/>
      <c r="D201" s="34"/>
      <c r="E201" s="33"/>
      <c r="F201" s="34"/>
      <c r="G201" s="34"/>
      <c r="H201" s="34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</row>
    <row r="202" ht="16.5" customHeight="1">
      <c r="A202" s="33"/>
      <c r="B202" s="34"/>
      <c r="C202" s="34"/>
      <c r="D202" s="34"/>
      <c r="E202" s="33"/>
      <c r="F202" s="34"/>
      <c r="G202" s="34"/>
      <c r="H202" s="34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</row>
    <row r="203" ht="16.5" customHeight="1">
      <c r="A203" s="33"/>
      <c r="B203" s="34"/>
      <c r="C203" s="34"/>
      <c r="D203" s="34"/>
      <c r="E203" s="33"/>
      <c r="F203" s="34"/>
      <c r="G203" s="34"/>
      <c r="H203" s="34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</row>
    <row r="204" ht="16.5" customHeight="1">
      <c r="A204" s="33"/>
      <c r="B204" s="34"/>
      <c r="C204" s="34"/>
      <c r="D204" s="34"/>
      <c r="E204" s="33"/>
      <c r="F204" s="34"/>
      <c r="G204" s="34"/>
      <c r="H204" s="34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</row>
    <row r="205" ht="16.5" customHeight="1">
      <c r="A205" s="33"/>
      <c r="B205" s="34"/>
      <c r="C205" s="34"/>
      <c r="D205" s="34"/>
      <c r="E205" s="33"/>
      <c r="F205" s="34"/>
      <c r="G205" s="34"/>
      <c r="H205" s="34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</row>
    <row r="206" ht="16.5" customHeight="1">
      <c r="A206" s="33"/>
      <c r="B206" s="34"/>
      <c r="C206" s="34"/>
      <c r="D206" s="34"/>
      <c r="E206" s="33"/>
      <c r="F206" s="34"/>
      <c r="G206" s="34"/>
      <c r="H206" s="34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</row>
    <row r="207" ht="16.5" customHeight="1">
      <c r="A207" s="33"/>
      <c r="B207" s="34"/>
      <c r="C207" s="34"/>
      <c r="D207" s="34"/>
      <c r="E207" s="33"/>
      <c r="F207" s="34"/>
      <c r="G207" s="34"/>
      <c r="H207" s="34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</row>
    <row r="208" ht="16.5" customHeight="1">
      <c r="A208" s="33"/>
      <c r="B208" s="34"/>
      <c r="C208" s="34"/>
      <c r="D208" s="34"/>
      <c r="E208" s="33"/>
      <c r="F208" s="34"/>
      <c r="G208" s="34"/>
      <c r="H208" s="34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</row>
    <row r="209" ht="16.5" customHeight="1">
      <c r="A209" s="33"/>
      <c r="B209" s="34"/>
      <c r="C209" s="34"/>
      <c r="D209" s="34"/>
      <c r="E209" s="33"/>
      <c r="F209" s="34"/>
      <c r="G209" s="34"/>
      <c r="H209" s="34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</row>
    <row r="210" ht="16.5" customHeight="1">
      <c r="A210" s="33"/>
      <c r="B210" s="34"/>
      <c r="C210" s="34"/>
      <c r="D210" s="34"/>
      <c r="E210" s="33"/>
      <c r="F210" s="34"/>
      <c r="G210" s="34"/>
      <c r="H210" s="34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</row>
    <row r="211" ht="16.5" customHeight="1">
      <c r="A211" s="33"/>
      <c r="B211" s="34"/>
      <c r="C211" s="34"/>
      <c r="D211" s="34"/>
      <c r="E211" s="33"/>
      <c r="F211" s="34"/>
      <c r="G211" s="34"/>
      <c r="H211" s="34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</row>
    <row r="212" ht="16.5" customHeight="1">
      <c r="A212" s="33"/>
      <c r="B212" s="34"/>
      <c r="C212" s="34"/>
      <c r="D212" s="34"/>
      <c r="E212" s="33"/>
      <c r="F212" s="34"/>
      <c r="G212" s="34"/>
      <c r="H212" s="34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</row>
    <row r="213" ht="16.5" customHeight="1">
      <c r="A213" s="33"/>
      <c r="B213" s="34"/>
      <c r="C213" s="34"/>
      <c r="D213" s="34"/>
      <c r="E213" s="33"/>
      <c r="F213" s="34"/>
      <c r="G213" s="34"/>
      <c r="H213" s="34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</row>
    <row r="214" ht="16.5" customHeight="1">
      <c r="A214" s="33"/>
      <c r="B214" s="34"/>
      <c r="C214" s="34"/>
      <c r="D214" s="34"/>
      <c r="E214" s="33"/>
      <c r="F214" s="34"/>
      <c r="G214" s="34"/>
      <c r="H214" s="34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</row>
    <row r="215" ht="16.5" customHeight="1">
      <c r="A215" s="33"/>
      <c r="B215" s="34"/>
      <c r="C215" s="34"/>
      <c r="D215" s="34"/>
      <c r="E215" s="33"/>
      <c r="F215" s="34"/>
      <c r="G215" s="34"/>
      <c r="H215" s="34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</row>
    <row r="216" ht="16.5" customHeight="1">
      <c r="A216" s="33"/>
      <c r="B216" s="34"/>
      <c r="C216" s="34"/>
      <c r="D216" s="34"/>
      <c r="E216" s="33"/>
      <c r="F216" s="34"/>
      <c r="G216" s="34"/>
      <c r="H216" s="34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</row>
    <row r="217" ht="16.5" customHeight="1">
      <c r="A217" s="33"/>
      <c r="B217" s="34"/>
      <c r="C217" s="34"/>
      <c r="D217" s="34"/>
      <c r="E217" s="33"/>
      <c r="F217" s="34"/>
      <c r="G217" s="34"/>
      <c r="H217" s="34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</row>
    <row r="218" ht="16.5" customHeight="1">
      <c r="A218" s="33"/>
      <c r="B218" s="34"/>
      <c r="C218" s="34"/>
      <c r="D218" s="34"/>
      <c r="E218" s="33"/>
      <c r="F218" s="34"/>
      <c r="G218" s="34"/>
      <c r="H218" s="34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</row>
    <row r="219" ht="16.5" customHeight="1">
      <c r="A219" s="33"/>
      <c r="B219" s="34"/>
      <c r="C219" s="34"/>
      <c r="D219" s="34"/>
      <c r="E219" s="33"/>
      <c r="F219" s="34"/>
      <c r="G219" s="34"/>
      <c r="H219" s="34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</row>
    <row r="220" ht="16.5" customHeight="1">
      <c r="A220" s="33"/>
      <c r="B220" s="34"/>
      <c r="C220" s="34"/>
      <c r="D220" s="34"/>
      <c r="E220" s="33"/>
      <c r="F220" s="34"/>
      <c r="G220" s="34"/>
      <c r="H220" s="34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G4:G6"/>
    <mergeCell ref="H4:H6"/>
    <mergeCell ref="B19:E19"/>
    <mergeCell ref="F4:F6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B2:AF2"/>
    <mergeCell ref="B3:H3"/>
    <mergeCell ref="B4:B6"/>
    <mergeCell ref="C4:C6"/>
    <mergeCell ref="D4:D6"/>
    <mergeCell ref="E4:E6"/>
    <mergeCell ref="I4:AF4"/>
    <mergeCell ref="AE5:AF5"/>
  </mergeCells>
  <printOptions/>
  <pageMargins bottom="0.75" footer="0.0" header="0.0" left="0.25" right="0.25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1616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6.57"/>
    <col customWidth="1" min="3" max="3" width="10.43"/>
    <col customWidth="1" min="4" max="4" width="14.57"/>
    <col customWidth="1" min="5" max="5" width="7.43"/>
    <col customWidth="1" min="6" max="6" width="14.14"/>
    <col customWidth="1" min="7" max="8" width="16.0"/>
    <col customWidth="1" min="9" max="9" width="15.71"/>
    <col customWidth="1" min="10" max="13" width="12.43"/>
    <col customWidth="1" min="14" max="14" width="14.57"/>
    <col customWidth="1" min="15" max="16" width="10.29"/>
    <col customWidth="1" min="17" max="18" width="9.0"/>
    <col customWidth="1" min="19" max="19" width="10.43"/>
    <col customWidth="1" min="20" max="21" width="9.0"/>
    <col customWidth="1" min="22" max="26" width="8.71"/>
  </cols>
  <sheetData>
    <row r="1" ht="16.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27.0" customHeight="1">
      <c r="A2" s="76"/>
      <c r="B2" s="77" t="s">
        <v>109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12.75" customHeight="1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24.0" customHeight="1">
      <c r="A4" s="76"/>
      <c r="B4" s="78" t="s">
        <v>110</v>
      </c>
      <c r="C4" s="79"/>
      <c r="D4" s="80" t="str">
        <f>'표지'!B10</f>
        <v>판로플랫폼 고도화 및 유지관리</v>
      </c>
      <c r="E4" s="44"/>
      <c r="F4" s="44"/>
      <c r="G4" s="44"/>
      <c r="H4" s="79"/>
      <c r="I4" s="81" t="s">
        <v>111</v>
      </c>
      <c r="J4" s="44"/>
      <c r="K4" s="44"/>
      <c r="L4" s="79"/>
      <c r="M4" s="82">
        <v>46108.0</v>
      </c>
      <c r="N4" s="44"/>
      <c r="O4" s="44"/>
      <c r="P4" s="45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24.0" customHeight="1">
      <c r="A5" s="76"/>
      <c r="B5" s="83" t="s">
        <v>112</v>
      </c>
      <c r="C5" s="84"/>
      <c r="D5" s="85" t="s">
        <v>113</v>
      </c>
      <c r="E5" s="86"/>
      <c r="F5" s="86"/>
      <c r="G5" s="86"/>
      <c r="H5" s="49"/>
      <c r="I5" s="87"/>
      <c r="J5" s="37"/>
      <c r="K5" s="88"/>
      <c r="L5" s="88"/>
      <c r="M5" s="89"/>
      <c r="N5" s="37"/>
      <c r="O5" s="89"/>
      <c r="P5" s="90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24.0" customHeight="1">
      <c r="A6" s="76"/>
      <c r="B6" s="19"/>
      <c r="C6" s="91"/>
      <c r="D6" s="85" t="s">
        <v>114</v>
      </c>
      <c r="E6" s="86"/>
      <c r="F6" s="49"/>
      <c r="G6" s="85" t="s">
        <v>115</v>
      </c>
      <c r="H6" s="49"/>
      <c r="I6" s="92"/>
      <c r="J6" s="92"/>
      <c r="K6" s="92"/>
      <c r="L6" s="92"/>
      <c r="M6" s="92"/>
      <c r="N6" s="92"/>
      <c r="O6" s="92"/>
      <c r="P6" s="93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24.0" customHeight="1">
      <c r="A7" s="76"/>
      <c r="B7" s="94"/>
      <c r="C7" s="95"/>
      <c r="D7" s="96">
        <v>46048.0</v>
      </c>
      <c r="E7" s="97"/>
      <c r="F7" s="84"/>
      <c r="G7" s="96">
        <v>46387.0</v>
      </c>
      <c r="H7" s="84"/>
      <c r="I7" s="92"/>
      <c r="J7" s="92"/>
      <c r="K7" s="92"/>
      <c r="L7" s="92"/>
      <c r="M7" s="92"/>
      <c r="N7" s="92"/>
      <c r="O7" s="92"/>
      <c r="P7" s="93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19.5" customHeight="1">
      <c r="A8" s="76"/>
      <c r="B8" s="83" t="s">
        <v>116</v>
      </c>
      <c r="C8" s="98"/>
      <c r="D8" s="99" t="s">
        <v>117</v>
      </c>
      <c r="E8" s="97"/>
      <c r="F8" s="84"/>
      <c r="G8" s="100" t="s">
        <v>118</v>
      </c>
      <c r="H8" s="98"/>
      <c r="I8" s="101" t="s">
        <v>119</v>
      </c>
      <c r="J8" s="102" t="s">
        <v>120</v>
      </c>
      <c r="K8" s="86"/>
      <c r="L8" s="86"/>
      <c r="M8" s="9"/>
      <c r="N8" s="103" t="s">
        <v>121</v>
      </c>
      <c r="O8" s="70"/>
      <c r="P8" s="104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9.5" customHeight="1">
      <c r="A9" s="76"/>
      <c r="B9" s="19"/>
      <c r="C9" s="105"/>
      <c r="D9" s="106"/>
      <c r="E9" s="107"/>
      <c r="F9" s="95"/>
      <c r="G9" s="106"/>
      <c r="H9" s="108"/>
      <c r="I9" s="109"/>
      <c r="J9" s="110" t="s">
        <v>122</v>
      </c>
      <c r="K9" s="111" t="s">
        <v>123</v>
      </c>
      <c r="L9" s="112" t="s">
        <v>124</v>
      </c>
      <c r="M9" s="113" t="s">
        <v>125</v>
      </c>
      <c r="N9" s="114" t="s">
        <v>126</v>
      </c>
      <c r="O9" s="107"/>
      <c r="P9" s="115"/>
      <c r="Q9" s="76"/>
      <c r="R9" s="76"/>
      <c r="S9" s="116"/>
      <c r="T9" s="76"/>
      <c r="U9" s="76"/>
      <c r="V9" s="76"/>
      <c r="W9" s="76"/>
      <c r="X9" s="76"/>
      <c r="Y9" s="76"/>
      <c r="Z9" s="76"/>
    </row>
    <row r="10" ht="22.5" customHeight="1">
      <c r="A10" s="76"/>
      <c r="B10" s="19"/>
      <c r="C10" s="105"/>
      <c r="D10" s="117" t="s">
        <v>127</v>
      </c>
      <c r="E10" s="86"/>
      <c r="F10" s="49"/>
      <c r="G10" s="118">
        <v>10.0</v>
      </c>
      <c r="H10" s="86"/>
      <c r="I10" s="119">
        <f>'1.사업관리'!$O$2</f>
        <v>0.2371134021</v>
      </c>
      <c r="J10" s="120">
        <f>'1.사업관리'!$L$6</f>
        <v>0.02371134021</v>
      </c>
      <c r="K10" s="121">
        <f>IF('1.사업관리'!$N$6&gt;J10,J10,'1.사업관리'!$N$6)</f>
        <v>0.02371134021</v>
      </c>
      <c r="L10" s="121">
        <f t="shared" ref="L10:L15" si="1">IF(IFERROR(K10/J10,0)&gt;1,1,IFERROR(K10/J10,0))</f>
        <v>1</v>
      </c>
      <c r="M10" s="122" t="str">
        <f t="shared" ref="M10:M14" si="2">IF(J10=0,"시작전", IF(L10&gt;=0.95,"양호",IF(L10&gt;=0.85,"지연","위험")))</f>
        <v>양호</v>
      </c>
      <c r="N10" s="123" t="s">
        <v>128</v>
      </c>
      <c r="O10" s="97"/>
      <c r="P10" s="124"/>
      <c r="Q10" s="125"/>
      <c r="R10" s="125"/>
      <c r="S10" s="116"/>
      <c r="T10" s="76"/>
      <c r="U10" s="76"/>
      <c r="V10" s="76"/>
      <c r="W10" s="76"/>
      <c r="X10" s="76"/>
      <c r="Y10" s="76"/>
      <c r="Z10" s="76"/>
    </row>
    <row r="11" ht="22.5" customHeight="1">
      <c r="A11" s="76"/>
      <c r="B11" s="19"/>
      <c r="C11" s="105"/>
      <c r="D11" s="126" t="s">
        <v>129</v>
      </c>
      <c r="E11" s="117" t="s">
        <v>130</v>
      </c>
      <c r="F11" s="49"/>
      <c r="G11" s="127">
        <f>SUM(H11:H14)</f>
        <v>90</v>
      </c>
      <c r="H11" s="118">
        <v>20.0</v>
      </c>
      <c r="I11" s="119">
        <f>'2.챗봇'!$O$2</f>
        <v>0.1538461538</v>
      </c>
      <c r="J11" s="120">
        <f>'2.챗봇'!$L$6</f>
        <v>0.03076923077</v>
      </c>
      <c r="K11" s="121">
        <f>IF('2.챗봇'!$N$6&gt;J11,J11,'2.챗봇'!$N$6)</f>
        <v>0.03076923077</v>
      </c>
      <c r="L11" s="121">
        <f t="shared" si="1"/>
        <v>1</v>
      </c>
      <c r="M11" s="122" t="str">
        <f t="shared" si="2"/>
        <v>양호</v>
      </c>
      <c r="N11" s="19"/>
      <c r="P11" s="14"/>
      <c r="Q11" s="125"/>
      <c r="R11" s="125"/>
      <c r="S11" s="116"/>
      <c r="T11" s="76"/>
      <c r="U11" s="76"/>
      <c r="V11" s="76"/>
      <c r="W11" s="76"/>
      <c r="X11" s="76"/>
      <c r="Y11" s="76"/>
      <c r="Z11" s="76"/>
    </row>
    <row r="12" ht="22.5" customHeight="1">
      <c r="A12" s="76"/>
      <c r="B12" s="19"/>
      <c r="C12" s="105"/>
      <c r="D12" s="47"/>
      <c r="E12" s="117" t="s">
        <v>131</v>
      </c>
      <c r="F12" s="49"/>
      <c r="G12" s="47"/>
      <c r="H12" s="118">
        <v>20.0</v>
      </c>
      <c r="I12" s="119">
        <f>'3.티켓관리'!$O$2</f>
        <v>0.1538461538</v>
      </c>
      <c r="J12" s="120">
        <f>'3.티켓관리'!$L$6</f>
        <v>0.03076923077</v>
      </c>
      <c r="K12" s="121">
        <f>IF('3.티켓관리'!$N$6&gt;J12,J12,'3.티켓관리'!$N$6)</f>
        <v>0.03076923077</v>
      </c>
      <c r="L12" s="121">
        <f t="shared" si="1"/>
        <v>1</v>
      </c>
      <c r="M12" s="122" t="str">
        <f t="shared" si="2"/>
        <v>양호</v>
      </c>
      <c r="N12" s="19"/>
      <c r="P12" s="14"/>
      <c r="Q12" s="125"/>
      <c r="R12" s="125"/>
      <c r="S12" s="128"/>
      <c r="T12" s="116"/>
      <c r="U12" s="116"/>
      <c r="V12" s="76"/>
      <c r="W12" s="76"/>
      <c r="X12" s="76"/>
      <c r="Y12" s="76"/>
      <c r="Z12" s="76"/>
    </row>
    <row r="13" ht="22.5" customHeight="1">
      <c r="A13" s="76"/>
      <c r="B13" s="19"/>
      <c r="C13" s="105"/>
      <c r="D13" s="47"/>
      <c r="E13" s="117" t="s">
        <v>132</v>
      </c>
      <c r="F13" s="49"/>
      <c r="G13" s="47"/>
      <c r="H13" s="118">
        <v>30.0</v>
      </c>
      <c r="I13" s="119">
        <f>'4.기능개선'!$O$2</f>
        <v>0.5475</v>
      </c>
      <c r="J13" s="120">
        <f>'4.기능개선'!$L$6</f>
        <v>0.1728399015</v>
      </c>
      <c r="K13" s="121">
        <f>IF('4.기능개선'!$N$6&gt;J13,J13,'4.기능개선'!$N$6)</f>
        <v>0.16425</v>
      </c>
      <c r="L13" s="121">
        <f t="shared" si="1"/>
        <v>0.950301398</v>
      </c>
      <c r="M13" s="122" t="str">
        <f t="shared" si="2"/>
        <v>양호</v>
      </c>
      <c r="N13" s="19"/>
      <c r="P13" s="14"/>
      <c r="Q13" s="125"/>
      <c r="R13" s="125"/>
      <c r="S13" s="128"/>
      <c r="T13" s="116"/>
      <c r="U13" s="116"/>
      <c r="V13" s="76"/>
      <c r="W13" s="76"/>
      <c r="X13" s="76"/>
      <c r="Y13" s="76"/>
      <c r="Z13" s="76"/>
    </row>
    <row r="14" ht="22.5" customHeight="1">
      <c r="A14" s="76"/>
      <c r="B14" s="19"/>
      <c r="C14" s="105"/>
      <c r="D14" s="129"/>
      <c r="E14" s="117" t="s">
        <v>133</v>
      </c>
      <c r="F14" s="49"/>
      <c r="G14" s="47"/>
      <c r="H14" s="118">
        <v>20.0</v>
      </c>
      <c r="I14" s="119">
        <f>'5.SLA협약'!$O$2</f>
        <v>0.3791666667</v>
      </c>
      <c r="J14" s="120">
        <f>'5.SLA협약'!$L$6</f>
        <v>0.075</v>
      </c>
      <c r="K14" s="121">
        <f>IF('5.SLA협약'!$N$6&gt;J14,J14,'5.SLA협약'!$N$6)</f>
        <v>0.075</v>
      </c>
      <c r="L14" s="121">
        <f t="shared" si="1"/>
        <v>1</v>
      </c>
      <c r="M14" s="122" t="str">
        <f t="shared" si="2"/>
        <v>양호</v>
      </c>
      <c r="N14" s="19"/>
      <c r="P14" s="14"/>
      <c r="Q14" s="125"/>
      <c r="R14" s="125"/>
      <c r="S14" s="116"/>
      <c r="T14" s="116"/>
      <c r="U14" s="116"/>
      <c r="V14" s="76"/>
      <c r="W14" s="76"/>
      <c r="X14" s="76"/>
      <c r="Y14" s="76"/>
      <c r="Z14" s="76"/>
    </row>
    <row r="15" ht="24.75" customHeight="1">
      <c r="A15" s="76"/>
      <c r="B15" s="130"/>
      <c r="C15" s="131"/>
      <c r="D15" s="132" t="s">
        <v>134</v>
      </c>
      <c r="E15" s="70"/>
      <c r="F15" s="71"/>
      <c r="G15" s="133">
        <f>SUM(G10:G14)</f>
        <v>100</v>
      </c>
      <c r="H15" s="134"/>
      <c r="I15" s="135">
        <f>AVERAGE(I10:I14)</f>
        <v>0.2942944753</v>
      </c>
      <c r="J15" s="136">
        <f t="shared" ref="J15:K15" si="3">SUM(J10:J14)</f>
        <v>0.3330897032</v>
      </c>
      <c r="K15" s="137">
        <f t="shared" si="3"/>
        <v>0.3244998017</v>
      </c>
      <c r="L15" s="138">
        <f t="shared" si="1"/>
        <v>0.974211447</v>
      </c>
      <c r="M15" s="139" t="str">
        <f>IF(L15&gt;=0.95,"양호",IF(L15&gt;=0.85,"지연","위험"))</f>
        <v>양호</v>
      </c>
      <c r="N15" s="130"/>
      <c r="O15" s="140"/>
      <c r="P15" s="141"/>
      <c r="Q15" s="125"/>
      <c r="R15" s="125"/>
      <c r="S15" s="116"/>
      <c r="T15" s="116"/>
      <c r="U15" s="116"/>
      <c r="V15" s="76"/>
      <c r="W15" s="76"/>
      <c r="X15" s="76"/>
      <c r="Y15" s="76"/>
      <c r="Z15" s="76"/>
    </row>
    <row r="16" ht="16.5" customHeight="1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116"/>
      <c r="T16" s="116"/>
      <c r="U16" s="116"/>
      <c r="V16" s="76"/>
      <c r="W16" s="76"/>
      <c r="X16" s="76"/>
      <c r="Y16" s="76"/>
      <c r="Z16" s="76"/>
    </row>
    <row r="17" ht="16.5" customHeight="1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116"/>
      <c r="T17" s="116"/>
      <c r="U17" s="116"/>
      <c r="V17" s="76"/>
      <c r="W17" s="76"/>
      <c r="X17" s="76"/>
      <c r="Y17" s="76"/>
      <c r="Z17" s="76"/>
    </row>
    <row r="18" ht="16.5" customHeight="1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6.5" customHeight="1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6.5" customHeight="1">
      <c r="A20" s="76"/>
      <c r="B20" s="76"/>
      <c r="C20" s="76"/>
      <c r="D20" s="76"/>
      <c r="E20" s="76"/>
      <c r="F20" s="76"/>
      <c r="G20" s="76"/>
      <c r="H20" s="76"/>
      <c r="I20" s="116"/>
      <c r="J20" s="11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6.5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6.5" customHeight="1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6.5" customHeight="1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6.5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6.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6.5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6.5" customHeigh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6.5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6.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6.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6.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6.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6.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6.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6.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6.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6.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6.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6.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6.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6.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6.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6.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6.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6.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6.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6.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6.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6.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6.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6.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6.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6.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6.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6.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6.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6.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6.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6.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6.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6.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6.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6.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6.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6.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6.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6.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6.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6.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6.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6.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6.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6.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6.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6.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6.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6.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6.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6.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6.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6.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6.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6.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6.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6.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6.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6.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6.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6.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6.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6.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6.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6.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6.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6.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6.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6.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6.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6.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6.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6.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6.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6.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6.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6.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6.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6.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6.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6.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6.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6.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6.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6.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6.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6.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6.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6.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6.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6.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6.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6.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6.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6.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6.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6.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6.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6.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6.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6.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6.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6.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6.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6.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6.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6.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6.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6.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6.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6.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6.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6.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6.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6.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6.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6.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6.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6.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6.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6.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6.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6.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6.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6.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6.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6.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6.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6.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6.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6.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6.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6.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6.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6.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6.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6.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6.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6.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6.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6.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6.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6.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6.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6.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6.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6.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6.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6.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6.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6.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6.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6.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6.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6.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6.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6.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6.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6.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6.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6.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6.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6.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6.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6.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6.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6.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6.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6.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6.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6.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6.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6.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6.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6.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6.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6.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6.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6.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6.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6.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6.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6.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6.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6.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6.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6.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6.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6.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6.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6.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I5:J5"/>
    <mergeCell ref="M5:N5"/>
    <mergeCell ref="D5:H5"/>
    <mergeCell ref="D6:F6"/>
    <mergeCell ref="G6:H6"/>
    <mergeCell ref="J8:M8"/>
    <mergeCell ref="N8:P8"/>
    <mergeCell ref="N9:P9"/>
    <mergeCell ref="N10:P15"/>
    <mergeCell ref="B2:P2"/>
    <mergeCell ref="B4:C4"/>
    <mergeCell ref="D4:H4"/>
    <mergeCell ref="I4:L4"/>
    <mergeCell ref="M4:P4"/>
    <mergeCell ref="B5:C7"/>
    <mergeCell ref="O5:P5"/>
    <mergeCell ref="B8:C15"/>
    <mergeCell ref="D11:D14"/>
    <mergeCell ref="G10:H10"/>
    <mergeCell ref="G11:G14"/>
    <mergeCell ref="G15:H15"/>
    <mergeCell ref="E12:F12"/>
    <mergeCell ref="E13:F13"/>
    <mergeCell ref="E14:F14"/>
    <mergeCell ref="D15:F15"/>
    <mergeCell ref="D7:F7"/>
    <mergeCell ref="G7:H7"/>
    <mergeCell ref="D8:F9"/>
    <mergeCell ref="G8:H9"/>
    <mergeCell ref="I8:I9"/>
    <mergeCell ref="D10:F10"/>
    <mergeCell ref="E11:F11"/>
  </mergeCells>
  <conditionalFormatting sqref="M10:M14">
    <cfRule type="containsText" dxfId="0" priority="1" operator="containsText" text="위험">
      <formula>NOT(ISERROR(SEARCH(("위험"),(M10))))</formula>
    </cfRule>
  </conditionalFormatting>
  <conditionalFormatting sqref="M10:M14">
    <cfRule type="containsText" dxfId="0" priority="2" operator="containsText" text="지연">
      <formula>NOT(ISERROR(SEARCH(("지연"),(M10))))</formula>
    </cfRule>
  </conditionalFormatting>
  <conditionalFormatting sqref="M14">
    <cfRule type="containsText" dxfId="0" priority="3" operator="containsText" text="위험">
      <formula>NOT(ISERROR(SEARCH(("위험"),(M14))))</formula>
    </cfRule>
  </conditionalFormatting>
  <conditionalFormatting sqref="M14">
    <cfRule type="containsText" dxfId="0" priority="4" operator="containsText" text="지연">
      <formula>NOT(ISERROR(SEARCH(("지연"),(M14))))</formula>
    </cfRule>
  </conditionalFormatting>
  <printOptions horizontalCentered="1"/>
  <pageMargins bottom="0.7480314960629921" footer="0.0" header="0.0" left="0.35" right="0.3" top="0.4724409448818898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5.14"/>
    <col customWidth="1" min="3" max="3" width="8.71"/>
    <col customWidth="1" min="4" max="4" width="16.0"/>
    <col customWidth="1" min="5" max="5" width="49.86"/>
    <col customWidth="1" min="6" max="6" width="38.86"/>
    <col customWidth="1" min="7" max="7" width="13.57"/>
    <col customWidth="1" min="8" max="8" width="7.86"/>
    <col customWidth="1" min="9" max="10" width="12.57"/>
    <col customWidth="1" min="11" max="11" width="8.57"/>
    <col customWidth="1" min="12" max="12" width="9.14"/>
    <col customWidth="1" min="13" max="13" width="11.57"/>
    <col customWidth="1" min="14" max="14" width="9.0"/>
    <col customWidth="1" min="15" max="16" width="11.29"/>
    <col customWidth="1" min="17" max="17" width="10.86"/>
    <col customWidth="1" min="18" max="36" width="9.0"/>
  </cols>
  <sheetData>
    <row r="1" ht="13.5" customHeight="1">
      <c r="A1" s="142"/>
      <c r="B1" s="142"/>
      <c r="C1" s="142"/>
      <c r="D1" s="142"/>
      <c r="E1" s="142"/>
      <c r="F1" s="142"/>
      <c r="G1" s="143"/>
      <c r="H1" s="143"/>
      <c r="I1" s="144"/>
      <c r="J1" s="144"/>
      <c r="K1" s="145"/>
      <c r="L1" s="146"/>
      <c r="M1" s="147"/>
      <c r="N1" s="146"/>
      <c r="O1" s="144"/>
      <c r="P1" s="144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</row>
    <row r="2" ht="15.0" customHeight="1">
      <c r="A2" s="148"/>
      <c r="B2" s="149" t="s">
        <v>135</v>
      </c>
      <c r="C2" s="148"/>
      <c r="D2" s="148"/>
      <c r="E2" s="148"/>
      <c r="F2" s="148"/>
      <c r="G2" s="150"/>
      <c r="H2" s="150"/>
      <c r="I2" s="151" t="s">
        <v>136</v>
      </c>
      <c r="J2" s="79"/>
      <c r="K2" s="152">
        <f>(SUM(L8:L15)+SUM(L17:L19)+SUM(L21:L25)+SUM(L27:L50)+SUM(L52:L55)+SUM(L57:L61)+SUM(L63:L123))/(COUNT(L8:L15)+COUNT(L17:L19)+COUNT(L21:L25)+COUNT(L27:L50)+COUNT(L52:L55)+COUNT(L57:L61)+COUNT(L63:L123))</f>
        <v>0.2371134021</v>
      </c>
      <c r="L2" s="79"/>
      <c r="M2" s="153" t="s">
        <v>137</v>
      </c>
      <c r="N2" s="79"/>
      <c r="O2" s="152">
        <f>(SUM(N8:N15)+SUM(N17:N19)+SUM(N21:N25)+SUM(N27:N50)+SUM(N52:N55)+SUM(N57:N61)+SUM(N63:N123))/(COUNT(N8:N15)+COUNT(N17:N19)+COUNT(N21:N25)+COUNT(N27:N50)+COUNT(N52:N55)+COUNT(N57:N61)+COUNT(N63:N123))</f>
        <v>0.2371134021</v>
      </c>
      <c r="P2" s="45"/>
      <c r="Q2" s="154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</row>
    <row r="3" ht="15.0" customHeight="1">
      <c r="A3" s="148"/>
      <c r="B3" s="150"/>
      <c r="C3" s="39"/>
      <c r="D3" s="39"/>
      <c r="E3" s="39"/>
      <c r="F3" s="148"/>
      <c r="G3" s="150"/>
      <c r="H3" s="150"/>
      <c r="I3" s="155" t="s">
        <v>138</v>
      </c>
      <c r="J3" s="156"/>
      <c r="K3" s="156"/>
      <c r="L3" s="157"/>
      <c r="M3" s="158" t="s">
        <v>139</v>
      </c>
      <c r="N3" s="156"/>
      <c r="O3" s="156"/>
      <c r="P3" s="159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</row>
    <row r="4" ht="20.25" customHeight="1">
      <c r="A4" s="160"/>
      <c r="B4" s="161" t="s">
        <v>117</v>
      </c>
      <c r="C4" s="162" t="s">
        <v>140</v>
      </c>
      <c r="D4" s="163" t="s">
        <v>141</v>
      </c>
      <c r="E4" s="79"/>
      <c r="F4" s="162" t="s">
        <v>142</v>
      </c>
      <c r="G4" s="162" t="s">
        <v>143</v>
      </c>
      <c r="H4" s="164" t="s">
        <v>118</v>
      </c>
      <c r="I4" s="165" t="s">
        <v>144</v>
      </c>
      <c r="J4" s="165" t="s">
        <v>145</v>
      </c>
      <c r="K4" s="165" t="s">
        <v>146</v>
      </c>
      <c r="L4" s="166" t="s">
        <v>147</v>
      </c>
      <c r="M4" s="167" t="s">
        <v>148</v>
      </c>
      <c r="N4" s="167" t="s">
        <v>149</v>
      </c>
      <c r="O4" s="167" t="s">
        <v>150</v>
      </c>
      <c r="P4" s="168" t="s">
        <v>151</v>
      </c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</row>
    <row r="5" ht="20.25" customHeight="1">
      <c r="A5" s="160"/>
      <c r="B5" s="169"/>
      <c r="C5" s="28"/>
      <c r="D5" s="170" t="s">
        <v>152</v>
      </c>
      <c r="E5" s="170" t="s">
        <v>153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171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</row>
    <row r="6" ht="13.5" customHeight="1">
      <c r="A6" s="172"/>
      <c r="B6" s="173" t="s">
        <v>127</v>
      </c>
      <c r="C6" s="174"/>
      <c r="D6" s="174"/>
      <c r="E6" s="174"/>
      <c r="F6" s="174"/>
      <c r="G6" s="175"/>
      <c r="H6" s="176">
        <f>'진척율보고서'!G10</f>
        <v>10</v>
      </c>
      <c r="I6" s="177"/>
      <c r="J6" s="178"/>
      <c r="K6" s="179" t="str">
        <f t="shared" ref="K6:K7" si="1">IF(OR(ISBLANK($I6), ISBLANK($J6)),"",NETWORKDAYS($I6,$J6))</f>
        <v/>
      </c>
      <c r="L6" s="180">
        <f>K2*H6/100</f>
        <v>0.02371134021</v>
      </c>
      <c r="M6" s="181"/>
      <c r="N6" s="182">
        <f>O2*H6/100</f>
        <v>0.02371134021</v>
      </c>
      <c r="O6" s="178"/>
      <c r="P6" s="183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</row>
    <row r="7" ht="13.5" customHeight="1">
      <c r="A7" s="142"/>
      <c r="B7" s="184"/>
      <c r="C7" s="185" t="s">
        <v>154</v>
      </c>
      <c r="D7" s="186"/>
      <c r="E7" s="186"/>
      <c r="F7" s="186"/>
      <c r="G7" s="187"/>
      <c r="H7" s="187"/>
      <c r="I7" s="188">
        <f>MIN(I8:I15)</f>
        <v>46048</v>
      </c>
      <c r="J7" s="189">
        <f>MAX(J8:J15)</f>
        <v>46372</v>
      </c>
      <c r="K7" s="190">
        <f t="shared" si="1"/>
        <v>233</v>
      </c>
      <c r="L7" s="191">
        <f>SUM(L8:L15)/COUNT(L8:L15)</f>
        <v>0.4</v>
      </c>
      <c r="M7" s="192"/>
      <c r="N7" s="193">
        <f>SUM(N8:N15)/COUNT(N8:N15)</f>
        <v>0.4</v>
      </c>
      <c r="O7" s="189"/>
      <c r="P7" s="194"/>
      <c r="Q7" s="195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ht="13.5" customHeight="1">
      <c r="A8" s="142"/>
      <c r="B8" s="184"/>
      <c r="C8" s="196"/>
      <c r="D8" s="197" t="s">
        <v>155</v>
      </c>
      <c r="E8" s="197"/>
      <c r="F8" s="197"/>
      <c r="G8" s="198"/>
      <c r="H8" s="198"/>
      <c r="I8" s="199"/>
      <c r="J8" s="200"/>
      <c r="K8" s="201"/>
      <c r="L8" s="202"/>
      <c r="M8" s="203"/>
      <c r="N8" s="204"/>
      <c r="O8" s="200"/>
      <c r="P8" s="205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</row>
    <row r="9" ht="14.25" customHeight="1">
      <c r="A9" s="142"/>
      <c r="B9" s="184"/>
      <c r="C9" s="196"/>
      <c r="D9" s="196"/>
      <c r="E9" s="196" t="s">
        <v>156</v>
      </c>
      <c r="F9" s="206" t="s">
        <v>157</v>
      </c>
      <c r="G9" s="207" t="s">
        <v>14</v>
      </c>
      <c r="H9" s="208"/>
      <c r="I9" s="209">
        <v>46048.0</v>
      </c>
      <c r="J9" s="210">
        <v>46059.0</v>
      </c>
      <c r="K9" s="211">
        <f t="shared" ref="K9:K10" si="2">IF(OR(ISBLANK($I9), ISBLANK($J9)),"",NETWORKDAYS($I9,$J9))</f>
        <v>10</v>
      </c>
      <c r="L9" s="212">
        <f>IF(OR(ISBLANK($I9), ISBLANK($J9)), "", IF('진척율보고서'!$M$4 &lt; $I9, 0, IF('진척율보고서'!$M$4 &gt;= $J9, 1, NETWORKDAYS($I9,'진척율보고서'!$M$4)/$K9)))</f>
        <v>1</v>
      </c>
      <c r="M9" s="213" t="s">
        <v>158</v>
      </c>
      <c r="N9" s="214">
        <f t="shared" ref="N9:N10" si="3">IF($M9="완료",1,IF($M9="PM확인",0.95,IF($M9="PL확인",0.8,IF($M9="테스트",0.7,IF($M9="수행2단계",0.55,IF($M9="수행1단계",0.35,IF($M9="착수",0.2,IF($M9="미착수",0,""))))))))</f>
        <v>1</v>
      </c>
      <c r="O9" s="215">
        <v>46048.0</v>
      </c>
      <c r="P9" s="216">
        <v>46055.0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ht="14.25" customHeight="1">
      <c r="A10" s="142"/>
      <c r="B10" s="184"/>
      <c r="C10" s="196"/>
      <c r="D10" s="196"/>
      <c r="E10" s="196" t="s">
        <v>159</v>
      </c>
      <c r="F10" s="196"/>
      <c r="G10" s="217" t="s">
        <v>14</v>
      </c>
      <c r="H10" s="208"/>
      <c r="I10" s="209">
        <v>46055.0</v>
      </c>
      <c r="J10" s="210">
        <v>46063.0</v>
      </c>
      <c r="K10" s="211">
        <f t="shared" si="2"/>
        <v>7</v>
      </c>
      <c r="L10" s="212">
        <f>IF(OR(ISBLANK($I10), ISBLANK($J10)), "", IF('진척율보고서'!$M$4 &lt; $I10, 0, IF('진척율보고서'!$M$4 &gt;= $J10, 1, NETWORKDAYS($I10,'진척율보고서'!$M$4)/$K10)))</f>
        <v>1</v>
      </c>
      <c r="M10" s="213" t="s">
        <v>158</v>
      </c>
      <c r="N10" s="214">
        <f t="shared" si="3"/>
        <v>1</v>
      </c>
      <c r="O10" s="209">
        <v>46055.0</v>
      </c>
      <c r="P10" s="216">
        <v>46063.0</v>
      </c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ht="14.25" customHeight="1">
      <c r="A11" s="142"/>
      <c r="B11" s="184"/>
      <c r="C11" s="196"/>
      <c r="D11" s="197" t="s">
        <v>160</v>
      </c>
      <c r="E11" s="197"/>
      <c r="F11" s="197"/>
      <c r="G11" s="198"/>
      <c r="H11" s="198"/>
      <c r="I11" s="199"/>
      <c r="J11" s="200"/>
      <c r="K11" s="201"/>
      <c r="L11" s="202"/>
      <c r="M11" s="203"/>
      <c r="N11" s="204"/>
      <c r="O11" s="200"/>
      <c r="P11" s="205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</row>
    <row r="12" ht="14.25" customHeight="1">
      <c r="A12" s="142"/>
      <c r="B12" s="184"/>
      <c r="C12" s="196"/>
      <c r="D12" s="196"/>
      <c r="E12" s="196" t="s">
        <v>161</v>
      </c>
      <c r="F12" s="196" t="s">
        <v>162</v>
      </c>
      <c r="G12" s="217" t="s">
        <v>14</v>
      </c>
      <c r="H12" s="208"/>
      <c r="I12" s="209">
        <v>46211.0</v>
      </c>
      <c r="J12" s="209">
        <v>46211.0</v>
      </c>
      <c r="K12" s="211">
        <f>IF(OR(ISBLANK($I12), ISBLANK($J12)),"",NETWORKDAYS($I12,$J12))</f>
        <v>1</v>
      </c>
      <c r="L12" s="212">
        <f>IF(OR(ISBLANK($I12), ISBLANK($J12)), "", IF('진척율보고서'!$M$4 &lt; $I12, 0, IF('진척율보고서'!$M$4 &gt;= $J12, 1, NETWORKDAYS($I12,'진척율보고서'!$M$4)/$K12)))</f>
        <v>0</v>
      </c>
      <c r="M12" s="213" t="s">
        <v>163</v>
      </c>
      <c r="N12" s="214">
        <f>IF($M12="완료",1,IF($M12="PM확인",0.95,IF($M12="PL확인",0.8,IF($M12="테스트",0.7,IF($M12="수행2단계",0.55,IF($M12="수행1단계",0.35,IF($M12="착수",0.2,IF($M12="미착수",0,""))))))))</f>
        <v>0</v>
      </c>
      <c r="O12" s="215"/>
      <c r="P12" s="216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</row>
    <row r="13" ht="14.25" customHeight="1">
      <c r="A13" s="142"/>
      <c r="B13" s="184"/>
      <c r="C13" s="196"/>
      <c r="D13" s="197" t="s">
        <v>164</v>
      </c>
      <c r="E13" s="197"/>
      <c r="F13" s="197"/>
      <c r="G13" s="198"/>
      <c r="H13" s="198"/>
      <c r="I13" s="199"/>
      <c r="J13" s="200"/>
      <c r="K13" s="201"/>
      <c r="L13" s="202"/>
      <c r="M13" s="203"/>
      <c r="N13" s="204"/>
      <c r="O13" s="200"/>
      <c r="P13" s="205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</row>
    <row r="14" ht="14.25" customHeight="1">
      <c r="A14" s="142"/>
      <c r="B14" s="184"/>
      <c r="C14" s="196"/>
      <c r="D14" s="218"/>
      <c r="E14" s="196" t="s">
        <v>165</v>
      </c>
      <c r="F14" s="196" t="s">
        <v>166</v>
      </c>
      <c r="G14" s="217" t="s">
        <v>14</v>
      </c>
      <c r="H14" s="208"/>
      <c r="I14" s="209">
        <v>46363.0</v>
      </c>
      <c r="J14" s="209">
        <v>46367.0</v>
      </c>
      <c r="K14" s="211">
        <f t="shared" ref="K14:K16" si="4">IF(OR(ISBLANK($I14), ISBLANK($J14)),"",NETWORKDAYS($I14,$J14))</f>
        <v>5</v>
      </c>
      <c r="L14" s="212">
        <f>IF(OR(ISBLANK($I14), ISBLANK($J14)), "", IF('진척율보고서'!$M$4 &lt; $I14, 0, IF('진척율보고서'!$M$4 &gt;= $J14, 1, NETWORKDAYS($I14,'진척율보고서'!$M$4)/$K14)))</f>
        <v>0</v>
      </c>
      <c r="M14" s="213" t="s">
        <v>163</v>
      </c>
      <c r="N14" s="214">
        <f t="shared" ref="N14:N15" si="5">IF($M14="완료",1,IF($M14="PM확인",0.95,IF($M14="PL확인",0.8,IF($M14="테스트",0.7,IF($M14="수행2단계",0.55,IF($M14="수행1단계",0.35,IF($M14="착수",0.2,IF($M14="미착수",0,""))))))))</f>
        <v>0</v>
      </c>
      <c r="O14" s="219"/>
      <c r="P14" s="216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</row>
    <row r="15" ht="14.25" customHeight="1">
      <c r="A15" s="142"/>
      <c r="B15" s="184"/>
      <c r="C15" s="196"/>
      <c r="D15" s="218"/>
      <c r="E15" s="196" t="s">
        <v>167</v>
      </c>
      <c r="F15" s="196"/>
      <c r="G15" s="217" t="s">
        <v>168</v>
      </c>
      <c r="H15" s="208"/>
      <c r="I15" s="209">
        <v>46372.0</v>
      </c>
      <c r="J15" s="209">
        <v>46372.0</v>
      </c>
      <c r="K15" s="211">
        <f t="shared" si="4"/>
        <v>1</v>
      </c>
      <c r="L15" s="212">
        <f>IF(OR(ISBLANK($I15), ISBLANK($J15)), "", IF('진척율보고서'!$M$4 &lt; $I15, 0, IF('진척율보고서'!$M$4 &gt;= $J15, 1, NETWORKDAYS($I15,'진척율보고서'!$M$4)/$K15)))</f>
        <v>0</v>
      </c>
      <c r="M15" s="213" t="s">
        <v>163</v>
      </c>
      <c r="N15" s="214">
        <f t="shared" si="5"/>
        <v>0</v>
      </c>
      <c r="O15" s="219"/>
      <c r="P15" s="216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ht="13.5" customHeight="1">
      <c r="A16" s="142"/>
      <c r="B16" s="184"/>
      <c r="C16" s="185" t="s">
        <v>169</v>
      </c>
      <c r="D16" s="186"/>
      <c r="E16" s="186"/>
      <c r="F16" s="186"/>
      <c r="G16" s="187"/>
      <c r="H16" s="187"/>
      <c r="I16" s="188">
        <f>MIN(I17:I19)</f>
        <v>46048</v>
      </c>
      <c r="J16" s="189">
        <f>MAX(J17:J19)</f>
        <v>46052</v>
      </c>
      <c r="K16" s="190">
        <f t="shared" si="4"/>
        <v>5</v>
      </c>
      <c r="L16" s="191">
        <f>SUM(L17:L19)/COUNT(L17:L19)</f>
        <v>1</v>
      </c>
      <c r="M16" s="192"/>
      <c r="N16" s="193">
        <f>SUM(N17:N19)/COUNT(N17:N19)</f>
        <v>1</v>
      </c>
      <c r="O16" s="189"/>
      <c r="P16" s="194"/>
      <c r="Q16" s="195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</row>
    <row r="17" ht="13.5" customHeight="1">
      <c r="A17" s="142"/>
      <c r="B17" s="184"/>
      <c r="C17" s="196"/>
      <c r="D17" s="197" t="s">
        <v>170</v>
      </c>
      <c r="E17" s="197"/>
      <c r="F17" s="220"/>
      <c r="G17" s="198"/>
      <c r="H17" s="198"/>
      <c r="I17" s="199"/>
      <c r="J17" s="200"/>
      <c r="K17" s="201"/>
      <c r="L17" s="202"/>
      <c r="M17" s="203"/>
      <c r="N17" s="204"/>
      <c r="O17" s="200"/>
      <c r="P17" s="205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ht="13.5" customHeight="1">
      <c r="A18" s="142"/>
      <c r="B18" s="184"/>
      <c r="C18" s="196"/>
      <c r="D18" s="196"/>
      <c r="E18" s="196" t="s">
        <v>171</v>
      </c>
      <c r="F18" s="206"/>
      <c r="G18" s="217" t="s">
        <v>168</v>
      </c>
      <c r="H18" s="208"/>
      <c r="I18" s="209">
        <v>46048.0</v>
      </c>
      <c r="J18" s="209">
        <v>46052.0</v>
      </c>
      <c r="K18" s="211">
        <f t="shared" ref="K18:K20" si="6">IF(OR(ISBLANK($I18), ISBLANK($J18)),"",NETWORKDAYS($I18,$J18))</f>
        <v>5</v>
      </c>
      <c r="L18" s="212">
        <f>IF(OR(ISBLANK($I18), ISBLANK($J18)), "", IF('진척율보고서'!$M$4 &lt; $I18, 0, IF('진척율보고서'!$M$4 &gt;= $J18, 1, NETWORKDAYS($I18,'진척율보고서'!$M$4)/$K18)))</f>
        <v>1</v>
      </c>
      <c r="M18" s="213" t="s">
        <v>158</v>
      </c>
      <c r="N18" s="214">
        <f t="shared" ref="N18:N19" si="7">IF($M18="완료",1,IF($M18="PM확인",0.95,IF($M18="PL확인",0.8,IF($M18="테스트",0.7,IF($M18="수행2단계",0.55,IF($M18="수행1단계",0.35,IF($M18="착수",0.2,IF($M18="미착수",0,""))))))))</f>
        <v>1</v>
      </c>
      <c r="O18" s="219">
        <v>46048.0</v>
      </c>
      <c r="P18" s="216">
        <v>46048.0</v>
      </c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</row>
    <row r="19" ht="13.5" customHeight="1">
      <c r="A19" s="142"/>
      <c r="B19" s="184"/>
      <c r="C19" s="196"/>
      <c r="D19" s="196"/>
      <c r="E19" s="196" t="s">
        <v>172</v>
      </c>
      <c r="F19" s="206"/>
      <c r="G19" s="217" t="s">
        <v>168</v>
      </c>
      <c r="H19" s="208"/>
      <c r="I19" s="209">
        <v>46048.0</v>
      </c>
      <c r="J19" s="209">
        <v>46052.0</v>
      </c>
      <c r="K19" s="211">
        <f t="shared" si="6"/>
        <v>5</v>
      </c>
      <c r="L19" s="212">
        <f>IF(OR(ISBLANK($I19), ISBLANK($J19)), "", IF('진척율보고서'!$M$4 &lt; $I19, 0, IF('진척율보고서'!$M$4 &gt;= $J19, 1, NETWORKDAYS($I19,'진척율보고서'!$M$4)/$K19)))</f>
        <v>1</v>
      </c>
      <c r="M19" s="213" t="s">
        <v>158</v>
      </c>
      <c r="N19" s="214">
        <f t="shared" si="7"/>
        <v>1</v>
      </c>
      <c r="O19" s="219">
        <v>46048.0</v>
      </c>
      <c r="P19" s="216">
        <v>46048.0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ht="13.5" customHeight="1">
      <c r="A20" s="142"/>
      <c r="B20" s="184"/>
      <c r="C20" s="185" t="s">
        <v>173</v>
      </c>
      <c r="D20" s="186"/>
      <c r="E20" s="186"/>
      <c r="F20" s="186"/>
      <c r="G20" s="187"/>
      <c r="H20" s="221"/>
      <c r="I20" s="222">
        <f>MIN(I21:I25)</f>
        <v>46048</v>
      </c>
      <c r="J20" s="189">
        <f>MAX(J21:J25)</f>
        <v>46080</v>
      </c>
      <c r="K20" s="190">
        <f t="shared" si="6"/>
        <v>25</v>
      </c>
      <c r="L20" s="191">
        <f>SUM(L21:L25)/COUNT(L21:L25)</f>
        <v>1</v>
      </c>
      <c r="M20" s="192"/>
      <c r="N20" s="193">
        <f>SUM(N21:N25)/COUNT(N21:N25)</f>
        <v>1</v>
      </c>
      <c r="O20" s="189"/>
      <c r="P20" s="194"/>
      <c r="Q20" s="195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</row>
    <row r="21" ht="13.5" customHeight="1">
      <c r="A21" s="142"/>
      <c r="B21" s="184"/>
      <c r="C21" s="196"/>
      <c r="D21" s="197" t="s">
        <v>174</v>
      </c>
      <c r="E21" s="197"/>
      <c r="F21" s="197"/>
      <c r="G21" s="198"/>
      <c r="H21" s="223"/>
      <c r="I21" s="224"/>
      <c r="J21" s="200"/>
      <c r="K21" s="201"/>
      <c r="L21" s="202"/>
      <c r="M21" s="203"/>
      <c r="N21" s="204"/>
      <c r="O21" s="200"/>
      <c r="P21" s="205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</row>
    <row r="22" ht="14.25" customHeight="1">
      <c r="A22" s="142"/>
      <c r="B22" s="184"/>
      <c r="C22" s="196"/>
      <c r="D22" s="196"/>
      <c r="E22" s="196" t="s">
        <v>175</v>
      </c>
      <c r="F22" s="206" t="s">
        <v>176</v>
      </c>
      <c r="G22" s="217" t="s">
        <v>14</v>
      </c>
      <c r="H22" s="225"/>
      <c r="I22" s="209">
        <v>46048.0</v>
      </c>
      <c r="J22" s="210">
        <v>46059.0</v>
      </c>
      <c r="K22" s="211">
        <f t="shared" ref="K22:K26" si="8">IF(OR(ISBLANK($I22), ISBLANK($J22)),"",NETWORKDAYS($I22,$J22))</f>
        <v>10</v>
      </c>
      <c r="L22" s="212">
        <f>IF(OR(ISBLANK($I22), ISBLANK($J22)), "", IF('진척율보고서'!$M$4 &lt; $I22, 0, IF('진척율보고서'!$M$4 &gt;= $J22, 1, NETWORKDAYS($I22,'진척율보고서'!$M$4)/$K22)))</f>
        <v>1</v>
      </c>
      <c r="M22" s="213" t="s">
        <v>158</v>
      </c>
      <c r="N22" s="214">
        <f t="shared" ref="N22:N25" si="9">IF($M22="완료",1,IF($M22="PM확인",0.95,IF($M22="PL확인",0.8,IF($M22="테스트",0.7,IF($M22="수행2단계",0.55,IF($M22="수행1단계",0.35,IF($M22="착수",0.2,IF($M22="미착수",0,""))))))))</f>
        <v>1</v>
      </c>
      <c r="O22" s="219">
        <v>46048.0</v>
      </c>
      <c r="P22" s="216">
        <v>46059.0</v>
      </c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</row>
    <row r="23" ht="14.25" customHeight="1">
      <c r="A23" s="142"/>
      <c r="B23" s="184"/>
      <c r="C23" s="196"/>
      <c r="D23" s="196"/>
      <c r="E23" s="196" t="s">
        <v>177</v>
      </c>
      <c r="F23" s="196" t="s">
        <v>178</v>
      </c>
      <c r="G23" s="217" t="s">
        <v>179</v>
      </c>
      <c r="H23" s="225"/>
      <c r="I23" s="219">
        <v>46055.0</v>
      </c>
      <c r="J23" s="219">
        <v>46059.0</v>
      </c>
      <c r="K23" s="211">
        <f t="shared" si="8"/>
        <v>5</v>
      </c>
      <c r="L23" s="212">
        <f>IF(OR(ISBLANK($I23), ISBLANK($J23)), "", IF('진척율보고서'!$M$4 &lt; $I23, 0, IF('진척율보고서'!$M$4 &gt;= $J23, 1, NETWORKDAYS($I23,'진척율보고서'!$M$4)/$K23)))</f>
        <v>1</v>
      </c>
      <c r="M23" s="213" t="s">
        <v>158</v>
      </c>
      <c r="N23" s="214">
        <f t="shared" si="9"/>
        <v>1</v>
      </c>
      <c r="O23" s="219">
        <v>46055.0</v>
      </c>
      <c r="P23" s="216">
        <v>46059.0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</row>
    <row r="24" ht="14.25" customHeight="1">
      <c r="A24" s="142"/>
      <c r="B24" s="184"/>
      <c r="C24" s="196"/>
      <c r="D24" s="196"/>
      <c r="E24" s="196" t="s">
        <v>180</v>
      </c>
      <c r="F24" s="196" t="s">
        <v>181</v>
      </c>
      <c r="G24" s="217" t="s">
        <v>179</v>
      </c>
      <c r="H24" s="225"/>
      <c r="I24" s="219">
        <v>46062.0</v>
      </c>
      <c r="J24" s="219">
        <v>46066.0</v>
      </c>
      <c r="K24" s="211">
        <f t="shared" si="8"/>
        <v>5</v>
      </c>
      <c r="L24" s="212">
        <f>IF(OR(ISBLANK($I24), ISBLANK($J24)), "", IF('진척율보고서'!$M$4 &lt; $I24, 0, IF('진척율보고서'!$M$4 &gt;= $J24, 1, NETWORKDAYS($I24,'진척율보고서'!$M$4)/$K24)))</f>
        <v>1</v>
      </c>
      <c r="M24" s="213" t="s">
        <v>158</v>
      </c>
      <c r="N24" s="214">
        <f t="shared" si="9"/>
        <v>1</v>
      </c>
      <c r="O24" s="219">
        <v>46062.0</v>
      </c>
      <c r="P24" s="219">
        <v>46066.0</v>
      </c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</row>
    <row r="25" ht="14.25" customHeight="1">
      <c r="A25" s="142"/>
      <c r="B25" s="184"/>
      <c r="C25" s="196"/>
      <c r="D25" s="196"/>
      <c r="E25" s="196" t="s">
        <v>182</v>
      </c>
      <c r="F25" s="196" t="s">
        <v>181</v>
      </c>
      <c r="G25" s="217" t="s">
        <v>179</v>
      </c>
      <c r="H25" s="225"/>
      <c r="I25" s="219">
        <v>46076.0</v>
      </c>
      <c r="J25" s="219">
        <v>46080.0</v>
      </c>
      <c r="K25" s="211">
        <f t="shared" si="8"/>
        <v>5</v>
      </c>
      <c r="L25" s="212">
        <f>IF(OR(ISBLANK($I25), ISBLANK($J25)), "", IF('진척율보고서'!$M$4 &lt; $I25, 0, IF('진척율보고서'!$M$4 &gt;= $J25, 1, NETWORKDAYS($I25,'진척율보고서'!$M$4)/$K25)))</f>
        <v>1</v>
      </c>
      <c r="M25" s="213" t="s">
        <v>158</v>
      </c>
      <c r="N25" s="214">
        <f t="shared" si="9"/>
        <v>1</v>
      </c>
      <c r="O25" s="219">
        <v>46076.0</v>
      </c>
      <c r="P25" s="216">
        <v>46080.0</v>
      </c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</row>
    <row r="26" ht="13.5" customHeight="1">
      <c r="A26" s="142"/>
      <c r="B26" s="184"/>
      <c r="C26" s="185" t="s">
        <v>183</v>
      </c>
      <c r="D26" s="186"/>
      <c r="E26" s="186"/>
      <c r="F26" s="186"/>
      <c r="G26" s="187"/>
      <c r="H26" s="187"/>
      <c r="I26" s="188">
        <f>MIN(I27:I50)</f>
        <v>46048</v>
      </c>
      <c r="J26" s="189">
        <f>MAX(J27:J50)</f>
        <v>46387</v>
      </c>
      <c r="K26" s="190">
        <f t="shared" si="8"/>
        <v>244</v>
      </c>
      <c r="L26" s="191">
        <f>SUM(L27:L50)/COUNT(L27:L50)</f>
        <v>0.3333333333</v>
      </c>
      <c r="M26" s="192"/>
      <c r="N26" s="193">
        <f>SUM(N27:N50)/COUNT(N27:N50)</f>
        <v>0.3333333333</v>
      </c>
      <c r="O26" s="189"/>
      <c r="P26" s="194"/>
      <c r="Q26" s="195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</row>
    <row r="27" ht="13.5" customHeight="1">
      <c r="A27" s="142"/>
      <c r="B27" s="184"/>
      <c r="C27" s="196"/>
      <c r="D27" s="197" t="s">
        <v>184</v>
      </c>
      <c r="E27" s="197"/>
      <c r="F27" s="220"/>
      <c r="G27" s="198"/>
      <c r="H27" s="198"/>
      <c r="I27" s="199"/>
      <c r="J27" s="200"/>
      <c r="K27" s="201"/>
      <c r="L27" s="202"/>
      <c r="M27" s="203"/>
      <c r="N27" s="204"/>
      <c r="O27" s="200"/>
      <c r="P27" s="205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</row>
    <row r="28" ht="13.5" customHeight="1">
      <c r="A28" s="142"/>
      <c r="B28" s="184"/>
      <c r="C28" s="196"/>
      <c r="D28" s="196"/>
      <c r="E28" s="196" t="s">
        <v>185</v>
      </c>
      <c r="F28" s="196"/>
      <c r="G28" s="217" t="s">
        <v>168</v>
      </c>
      <c r="H28" s="208"/>
      <c r="I28" s="209">
        <v>46048.0</v>
      </c>
      <c r="J28" s="209">
        <v>46052.0</v>
      </c>
      <c r="K28" s="211">
        <f t="shared" ref="K28:K30" si="10">IF(OR(ISBLANK($I28), ISBLANK($J28)),"",NETWORKDAYS($I28,$J28))</f>
        <v>5</v>
      </c>
      <c r="L28" s="212">
        <f>IF(OR(ISBLANK($I28), ISBLANK($J28)), "", IF('진척율보고서'!$M$4 &lt; $I28, 0, IF('진척율보고서'!$M$4 &gt;= $J28, 1, NETWORKDAYS($I28,'진척율보고서'!$M$4)/$K28)))</f>
        <v>1</v>
      </c>
      <c r="M28" s="213" t="s">
        <v>158</v>
      </c>
      <c r="N28" s="214">
        <f t="shared" ref="N28:N30" si="11">IF($M28="완료",1,IF($M28="PM확인",0.95,IF($M28="PL확인",0.8,IF($M28="테스트",0.7,IF($M28="수행2단계",0.55,IF($M28="수행1단계",0.35,IF($M28="착수",0.2,IF($M28="미착수",0,""))))))))</f>
        <v>1</v>
      </c>
      <c r="O28" s="219">
        <v>46048.0</v>
      </c>
      <c r="P28" s="216">
        <v>46048.0</v>
      </c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</row>
    <row r="29" ht="13.5" customHeight="1">
      <c r="A29" s="142"/>
      <c r="B29" s="184"/>
      <c r="C29" s="196"/>
      <c r="D29" s="196"/>
      <c r="E29" s="196" t="s">
        <v>186</v>
      </c>
      <c r="F29" s="196"/>
      <c r="G29" s="217" t="s">
        <v>168</v>
      </c>
      <c r="H29" s="208"/>
      <c r="I29" s="209">
        <v>46048.0</v>
      </c>
      <c r="J29" s="209">
        <v>46052.0</v>
      </c>
      <c r="K29" s="211">
        <f t="shared" si="10"/>
        <v>5</v>
      </c>
      <c r="L29" s="212">
        <f>IF(OR(ISBLANK($I29), ISBLANK($J29)), "", IF('진척율보고서'!$M$4 &lt; $I29, 0, IF('진척율보고서'!$M$4 &gt;= $J29, 1, NETWORKDAYS($I29,'진척율보고서'!$M$4)/$K29)))</f>
        <v>1</v>
      </c>
      <c r="M29" s="213" t="s">
        <v>158</v>
      </c>
      <c r="N29" s="214">
        <f t="shared" si="11"/>
        <v>1</v>
      </c>
      <c r="O29" s="219">
        <v>46048.0</v>
      </c>
      <c r="P29" s="216">
        <v>46048.0</v>
      </c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ht="13.5" customHeight="1">
      <c r="A30" s="142"/>
      <c r="B30" s="184"/>
      <c r="C30" s="196"/>
      <c r="D30" s="196"/>
      <c r="E30" s="196" t="s">
        <v>187</v>
      </c>
      <c r="F30" s="196"/>
      <c r="G30" s="217" t="s">
        <v>168</v>
      </c>
      <c r="H30" s="208"/>
      <c r="I30" s="209">
        <v>46048.0</v>
      </c>
      <c r="J30" s="209">
        <v>46052.0</v>
      </c>
      <c r="K30" s="211">
        <f t="shared" si="10"/>
        <v>5</v>
      </c>
      <c r="L30" s="212">
        <f>IF(OR(ISBLANK($I30), ISBLANK($J30)), "", IF('진척율보고서'!$M$4 &lt; $I30, 0, IF('진척율보고서'!$M$4 &gt;= $J30, 1, NETWORKDAYS($I30,'진척율보고서'!$M$4)/$K30)))</f>
        <v>1</v>
      </c>
      <c r="M30" s="213" t="s">
        <v>158</v>
      </c>
      <c r="N30" s="214">
        <f t="shared" si="11"/>
        <v>1</v>
      </c>
      <c r="O30" s="219">
        <v>46048.0</v>
      </c>
      <c r="P30" s="216">
        <v>46048.0</v>
      </c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ht="13.5" customHeight="1">
      <c r="A31" s="142"/>
      <c r="B31" s="184"/>
      <c r="C31" s="196"/>
      <c r="D31" s="197" t="s">
        <v>188</v>
      </c>
      <c r="E31" s="197"/>
      <c r="F31" s="220"/>
      <c r="G31" s="198"/>
      <c r="H31" s="198"/>
      <c r="I31" s="199"/>
      <c r="J31" s="200"/>
      <c r="K31" s="201"/>
      <c r="L31" s="202"/>
      <c r="M31" s="203"/>
      <c r="N31" s="204"/>
      <c r="O31" s="200"/>
      <c r="P31" s="205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</row>
    <row r="32" ht="13.5" customHeight="1">
      <c r="A32" s="142"/>
      <c r="B32" s="184"/>
      <c r="C32" s="196"/>
      <c r="D32" s="196"/>
      <c r="E32" s="196" t="s">
        <v>189</v>
      </c>
      <c r="F32" s="196" t="s">
        <v>190</v>
      </c>
      <c r="G32" s="217" t="s">
        <v>168</v>
      </c>
      <c r="H32" s="208"/>
      <c r="I32" s="209">
        <v>46055.0</v>
      </c>
      <c r="J32" s="210">
        <v>46066.0</v>
      </c>
      <c r="K32" s="211">
        <f t="shared" ref="K32:K38" si="12">IF(OR(ISBLANK($I32), ISBLANK($J32)),"",NETWORKDAYS($I32,$J32))</f>
        <v>10</v>
      </c>
      <c r="L32" s="212">
        <f>IF(OR(ISBLANK($I32), ISBLANK($J32)), "", IF('진척율보고서'!$M$4 &lt; $I32, 0, IF('진척율보고서'!$M$4 &gt;= $J32, 1, NETWORKDAYS($I32,'진척율보고서'!$M$4)/$K32)))</f>
        <v>1</v>
      </c>
      <c r="M32" s="213" t="s">
        <v>158</v>
      </c>
      <c r="N32" s="214">
        <f t="shared" ref="N32:N38" si="13">IF($M32="완료",1,IF($M32="PM확인",0.95,IF($M32="PL확인",0.8,IF($M32="테스트",0.7,IF($M32="수행2단계",0.55,IF($M32="수행1단계",0.35,IF($M32="착수",0.2,IF($M32="미착수",0,""))))))))</f>
        <v>1</v>
      </c>
      <c r="O32" s="209">
        <v>46055.0</v>
      </c>
      <c r="P32" s="210">
        <v>46066.0</v>
      </c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</row>
    <row r="33" ht="13.5" customHeight="1">
      <c r="A33" s="142"/>
      <c r="B33" s="184"/>
      <c r="C33" s="196"/>
      <c r="D33" s="196"/>
      <c r="E33" s="196" t="s">
        <v>191</v>
      </c>
      <c r="F33" s="196" t="s">
        <v>192</v>
      </c>
      <c r="G33" s="217" t="s">
        <v>168</v>
      </c>
      <c r="H33" s="208"/>
      <c r="I33" s="209">
        <v>46055.0</v>
      </c>
      <c r="J33" s="209">
        <v>46055.0</v>
      </c>
      <c r="K33" s="211">
        <f t="shared" si="12"/>
        <v>1</v>
      </c>
      <c r="L33" s="212">
        <f>IF(OR(ISBLANK($I33), ISBLANK($J33)), "", IF('진척율보고서'!$M$4 &lt; $I33, 0, IF('진척율보고서'!$M$4 &gt;= $J33, 1, NETWORKDAYS($I33,'진척율보고서'!$M$4)/$K33)))</f>
        <v>1</v>
      </c>
      <c r="M33" s="213" t="s">
        <v>158</v>
      </c>
      <c r="N33" s="214">
        <f t="shared" si="13"/>
        <v>1</v>
      </c>
      <c r="O33" s="209">
        <v>46055.0</v>
      </c>
      <c r="P33" s="216">
        <v>46055.0</v>
      </c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</row>
    <row r="34" ht="13.5" customHeight="1">
      <c r="A34" s="142"/>
      <c r="B34" s="184"/>
      <c r="C34" s="196"/>
      <c r="D34" s="196"/>
      <c r="E34" s="196" t="s">
        <v>193</v>
      </c>
      <c r="F34" s="196" t="s">
        <v>194</v>
      </c>
      <c r="G34" s="217" t="s">
        <v>168</v>
      </c>
      <c r="H34" s="208"/>
      <c r="I34" s="210">
        <v>46357.0</v>
      </c>
      <c r="J34" s="210">
        <v>46387.0</v>
      </c>
      <c r="K34" s="211">
        <f t="shared" si="12"/>
        <v>23</v>
      </c>
      <c r="L34" s="212">
        <f>IF(OR(ISBLANK($I34), ISBLANK($J34)), "", IF('진척율보고서'!$M$4 &lt; $I34, 0, IF('진척율보고서'!$M$4 &gt;= $J34, 1, NETWORKDAYS($I34,'진척율보고서'!$M$4)/$K34)))</f>
        <v>0</v>
      </c>
      <c r="M34" s="213" t="s">
        <v>163</v>
      </c>
      <c r="N34" s="214">
        <f t="shared" si="13"/>
        <v>0</v>
      </c>
      <c r="O34" s="209"/>
      <c r="P34" s="226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</row>
    <row r="35" ht="13.5" customHeight="1">
      <c r="A35" s="142"/>
      <c r="B35" s="184"/>
      <c r="C35" s="196"/>
      <c r="D35" s="196"/>
      <c r="E35" s="196" t="s">
        <v>195</v>
      </c>
      <c r="F35" s="196" t="s">
        <v>196</v>
      </c>
      <c r="G35" s="217" t="s">
        <v>168</v>
      </c>
      <c r="H35" s="208"/>
      <c r="I35" s="210">
        <v>46357.0</v>
      </c>
      <c r="J35" s="210">
        <v>46387.0</v>
      </c>
      <c r="K35" s="211">
        <f t="shared" si="12"/>
        <v>23</v>
      </c>
      <c r="L35" s="212">
        <f>IF(OR(ISBLANK($I35), ISBLANK($J35)), "", IF('진척율보고서'!$M$4 &lt; $I35, 0, IF('진척율보고서'!$M$4 &gt;= $J35, 1, NETWORKDAYS($I35,'진척율보고서'!$M$4)/$K35)))</f>
        <v>0</v>
      </c>
      <c r="M35" s="213" t="s">
        <v>163</v>
      </c>
      <c r="N35" s="214">
        <f t="shared" si="13"/>
        <v>0</v>
      </c>
      <c r="O35" s="209"/>
      <c r="P35" s="226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</row>
    <row r="36" ht="13.5" customHeight="1">
      <c r="A36" s="142"/>
      <c r="B36" s="184"/>
      <c r="C36" s="196"/>
      <c r="D36" s="196"/>
      <c r="E36" s="196" t="s">
        <v>197</v>
      </c>
      <c r="F36" s="196" t="s">
        <v>198</v>
      </c>
      <c r="G36" s="217" t="s">
        <v>168</v>
      </c>
      <c r="H36" s="208"/>
      <c r="I36" s="210">
        <v>46357.0</v>
      </c>
      <c r="J36" s="210">
        <v>46387.0</v>
      </c>
      <c r="K36" s="211">
        <f t="shared" si="12"/>
        <v>23</v>
      </c>
      <c r="L36" s="212">
        <f>IF(OR(ISBLANK($I36), ISBLANK($J36)), "", IF('진척율보고서'!$M$4 &lt; $I36, 0, IF('진척율보고서'!$M$4 &gt;= $J36, 1, NETWORKDAYS($I36,'진척율보고서'!$M$4)/$K36)))</f>
        <v>0</v>
      </c>
      <c r="M36" s="213" t="s">
        <v>163</v>
      </c>
      <c r="N36" s="214">
        <f t="shared" si="13"/>
        <v>0</v>
      </c>
      <c r="O36" s="209"/>
      <c r="P36" s="226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</row>
    <row r="37" ht="13.5" customHeight="1">
      <c r="A37" s="142"/>
      <c r="B37" s="184"/>
      <c r="C37" s="196"/>
      <c r="D37" s="196"/>
      <c r="E37" s="196" t="s">
        <v>199</v>
      </c>
      <c r="F37" s="196" t="s">
        <v>200</v>
      </c>
      <c r="G37" s="217" t="s">
        <v>168</v>
      </c>
      <c r="H37" s="208"/>
      <c r="I37" s="210">
        <v>46357.0</v>
      </c>
      <c r="J37" s="210">
        <v>46387.0</v>
      </c>
      <c r="K37" s="211">
        <f t="shared" si="12"/>
        <v>23</v>
      </c>
      <c r="L37" s="212">
        <f>IF(OR(ISBLANK($I37), ISBLANK($J37)), "", IF('진척율보고서'!$M$4 &lt; $I37, 0, IF('진척율보고서'!$M$4 &gt;= $J37, 1, NETWORKDAYS($I37,'진척율보고서'!$M$4)/$K37)))</f>
        <v>0</v>
      </c>
      <c r="M37" s="213" t="s">
        <v>163</v>
      </c>
      <c r="N37" s="214">
        <f t="shared" si="13"/>
        <v>0</v>
      </c>
      <c r="O37" s="209"/>
      <c r="P37" s="226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ht="13.5" customHeight="1">
      <c r="A38" s="142"/>
      <c r="B38" s="184"/>
      <c r="C38" s="196"/>
      <c r="D38" s="196"/>
      <c r="E38" s="196" t="s">
        <v>201</v>
      </c>
      <c r="F38" s="196" t="s">
        <v>202</v>
      </c>
      <c r="G38" s="217" t="s">
        <v>168</v>
      </c>
      <c r="H38" s="208"/>
      <c r="I38" s="209">
        <v>46048.0</v>
      </c>
      <c r="J38" s="210">
        <v>46059.0</v>
      </c>
      <c r="K38" s="211">
        <f t="shared" si="12"/>
        <v>10</v>
      </c>
      <c r="L38" s="212">
        <f>IF(OR(ISBLANK($I38), ISBLANK($J38)), "", IF('진척율보고서'!$M$4 &lt; $I38, 0, IF('진척율보고서'!$M$4 &gt;= $J38, 1, NETWORKDAYS($I38,'진척율보고서'!$M$4)/$K38)))</f>
        <v>1</v>
      </c>
      <c r="M38" s="213" t="s">
        <v>158</v>
      </c>
      <c r="N38" s="214">
        <f t="shared" si="13"/>
        <v>1</v>
      </c>
      <c r="O38" s="209">
        <v>46055.0</v>
      </c>
      <c r="P38" s="210">
        <v>46059.0</v>
      </c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</row>
    <row r="39" ht="13.5" customHeight="1">
      <c r="A39" s="142"/>
      <c r="B39" s="184"/>
      <c r="C39" s="196"/>
      <c r="D39" s="197" t="s">
        <v>203</v>
      </c>
      <c r="E39" s="197"/>
      <c r="F39" s="220"/>
      <c r="G39" s="198"/>
      <c r="H39" s="198"/>
      <c r="I39" s="199"/>
      <c r="J39" s="200"/>
      <c r="K39" s="201"/>
      <c r="L39" s="202"/>
      <c r="M39" s="203"/>
      <c r="N39" s="204"/>
      <c r="O39" s="200"/>
      <c r="P39" s="205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</row>
    <row r="40" ht="14.25" customHeight="1">
      <c r="A40" s="142"/>
      <c r="B40" s="184"/>
      <c r="C40" s="196"/>
      <c r="D40" s="196"/>
      <c r="E40" s="196" t="s">
        <v>204</v>
      </c>
      <c r="F40" s="206" t="s">
        <v>205</v>
      </c>
      <c r="G40" s="217" t="s">
        <v>168</v>
      </c>
      <c r="H40" s="208"/>
      <c r="I40" s="209">
        <v>46076.0</v>
      </c>
      <c r="J40" s="209">
        <v>46076.0</v>
      </c>
      <c r="K40" s="211">
        <f t="shared" ref="K40:K51" si="14">IF(OR(ISBLANK($I40), ISBLANK($J40)),"",NETWORKDAYS($I40,$J40))</f>
        <v>1</v>
      </c>
      <c r="L40" s="212">
        <f>IF(OR(ISBLANK($I40), ISBLANK($J40)), "", IF('진척율보고서'!$M$4 &lt; $I40, 0, IF('진척율보고서'!$M$4 &gt;= $J40, 1, NETWORKDAYS($I40,'진척율보고서'!$M$4)/$K40)))</f>
        <v>1</v>
      </c>
      <c r="M40" s="213" t="s">
        <v>158</v>
      </c>
      <c r="N40" s="214">
        <f t="shared" ref="N40:N50" si="15">IF($M40="완료",1,IF($M40="PM확인",0.95,IF($M40="PL확인",0.8,IF($M40="테스트",0.7,IF($M40="수행2단계",0.55,IF($M40="수행1단계",0.35,IF($M40="착수",0.2,IF($M40="미착수",0,""))))))))</f>
        <v>1</v>
      </c>
      <c r="O40" s="227">
        <v>46076.0</v>
      </c>
      <c r="P40" s="228">
        <v>46076.0</v>
      </c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</row>
    <row r="41" ht="14.25" customHeight="1">
      <c r="A41" s="142"/>
      <c r="B41" s="184"/>
      <c r="C41" s="196"/>
      <c r="D41" s="196"/>
      <c r="E41" s="196" t="s">
        <v>206</v>
      </c>
      <c r="F41" s="206" t="s">
        <v>205</v>
      </c>
      <c r="G41" s="217" t="s">
        <v>168</v>
      </c>
      <c r="H41" s="208"/>
      <c r="I41" s="209">
        <v>46111.0</v>
      </c>
      <c r="J41" s="209">
        <v>46111.0</v>
      </c>
      <c r="K41" s="211">
        <f t="shared" si="14"/>
        <v>1</v>
      </c>
      <c r="L41" s="212">
        <f>IF(OR(ISBLANK($I41), ISBLANK($J41)), "", IF('진척율보고서'!$M$4 &lt; $I41, 0, IF('진척율보고서'!$M$4 &gt;= $J41, 1, NETWORKDAYS($I41,'진척율보고서'!$M$4)/$K41)))</f>
        <v>0</v>
      </c>
      <c r="M41" s="213" t="s">
        <v>163</v>
      </c>
      <c r="N41" s="214">
        <f t="shared" si="15"/>
        <v>0</v>
      </c>
      <c r="O41" s="227"/>
      <c r="P41" s="228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</row>
    <row r="42" ht="14.25" customHeight="1">
      <c r="A42" s="142"/>
      <c r="B42" s="184"/>
      <c r="C42" s="196"/>
      <c r="D42" s="196"/>
      <c r="E42" s="196" t="s">
        <v>207</v>
      </c>
      <c r="F42" s="206" t="s">
        <v>205</v>
      </c>
      <c r="G42" s="217" t="s">
        <v>168</v>
      </c>
      <c r="H42" s="208"/>
      <c r="I42" s="209">
        <v>46139.0</v>
      </c>
      <c r="J42" s="209">
        <v>46139.0</v>
      </c>
      <c r="K42" s="211">
        <f t="shared" si="14"/>
        <v>1</v>
      </c>
      <c r="L42" s="212">
        <f>IF(OR(ISBLANK($I42), ISBLANK($J42)), "", IF('진척율보고서'!$M$4 &lt; $I42, 0, IF('진척율보고서'!$M$4 &gt;= $J42, 1, NETWORKDAYS($I42,'진척율보고서'!$M$4)/$K42)))</f>
        <v>0</v>
      </c>
      <c r="M42" s="213" t="s">
        <v>163</v>
      </c>
      <c r="N42" s="214">
        <f t="shared" si="15"/>
        <v>0</v>
      </c>
      <c r="O42" s="227"/>
      <c r="P42" s="228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</row>
    <row r="43" ht="14.25" customHeight="1">
      <c r="A43" s="142"/>
      <c r="B43" s="184"/>
      <c r="C43" s="196"/>
      <c r="D43" s="196"/>
      <c r="E43" s="196" t="s">
        <v>208</v>
      </c>
      <c r="F43" s="206" t="s">
        <v>205</v>
      </c>
      <c r="G43" s="217" t="s">
        <v>168</v>
      </c>
      <c r="H43" s="208"/>
      <c r="I43" s="209">
        <v>46167.0</v>
      </c>
      <c r="J43" s="209">
        <v>46167.0</v>
      </c>
      <c r="K43" s="211">
        <f t="shared" si="14"/>
        <v>1</v>
      </c>
      <c r="L43" s="212">
        <f>IF(OR(ISBLANK($I43), ISBLANK($J43)), "", IF('진척율보고서'!$M$4 &lt; $I43, 0, IF('진척율보고서'!$M$4 &gt;= $J43, 1, NETWORKDAYS($I43,'진척율보고서'!$M$4)/$K43)))</f>
        <v>0</v>
      </c>
      <c r="M43" s="213" t="s">
        <v>163</v>
      </c>
      <c r="N43" s="214">
        <f t="shared" si="15"/>
        <v>0</v>
      </c>
      <c r="O43" s="227"/>
      <c r="P43" s="228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</row>
    <row r="44" ht="14.25" customHeight="1">
      <c r="A44" s="142"/>
      <c r="B44" s="184"/>
      <c r="C44" s="196"/>
      <c r="D44" s="196"/>
      <c r="E44" s="196" t="s">
        <v>209</v>
      </c>
      <c r="F44" s="206" t="s">
        <v>205</v>
      </c>
      <c r="G44" s="217" t="s">
        <v>168</v>
      </c>
      <c r="H44" s="208"/>
      <c r="I44" s="209">
        <v>46202.0</v>
      </c>
      <c r="J44" s="209">
        <v>46202.0</v>
      </c>
      <c r="K44" s="211">
        <f t="shared" si="14"/>
        <v>1</v>
      </c>
      <c r="L44" s="212">
        <f>IF(OR(ISBLANK($I44), ISBLANK($J44)), "", IF('진척율보고서'!$M$4 &lt; $I44, 0, IF('진척율보고서'!$M$4 &gt;= $J44, 1, NETWORKDAYS($I44,'진척율보고서'!$M$4)/$K44)))</f>
        <v>0</v>
      </c>
      <c r="M44" s="213" t="s">
        <v>163</v>
      </c>
      <c r="N44" s="214">
        <f t="shared" si="15"/>
        <v>0</v>
      </c>
      <c r="O44" s="227"/>
      <c r="P44" s="228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</row>
    <row r="45" ht="14.25" customHeight="1">
      <c r="A45" s="142"/>
      <c r="B45" s="184"/>
      <c r="C45" s="196"/>
      <c r="D45" s="196"/>
      <c r="E45" s="196" t="s">
        <v>210</v>
      </c>
      <c r="F45" s="206" t="s">
        <v>205</v>
      </c>
      <c r="G45" s="217" t="s">
        <v>168</v>
      </c>
      <c r="H45" s="208"/>
      <c r="I45" s="209">
        <v>46230.0</v>
      </c>
      <c r="J45" s="209">
        <v>46230.0</v>
      </c>
      <c r="K45" s="211">
        <f t="shared" si="14"/>
        <v>1</v>
      </c>
      <c r="L45" s="212">
        <f>IF(OR(ISBLANK($I45), ISBLANK($J45)), "", IF('진척율보고서'!$M$4 &lt; $I45, 0, IF('진척율보고서'!$M$4 &gt;= $J45, 1, NETWORKDAYS($I45,'진척율보고서'!$M$4)/$K45)))</f>
        <v>0</v>
      </c>
      <c r="M45" s="213" t="s">
        <v>163</v>
      </c>
      <c r="N45" s="214">
        <f t="shared" si="15"/>
        <v>0</v>
      </c>
      <c r="O45" s="227"/>
      <c r="P45" s="228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</row>
    <row r="46" ht="14.25" customHeight="1">
      <c r="A46" s="142"/>
      <c r="B46" s="184"/>
      <c r="C46" s="196"/>
      <c r="D46" s="196"/>
      <c r="E46" s="196" t="s">
        <v>211</v>
      </c>
      <c r="F46" s="206" t="s">
        <v>205</v>
      </c>
      <c r="G46" s="217" t="s">
        <v>168</v>
      </c>
      <c r="H46" s="208"/>
      <c r="I46" s="209">
        <v>46258.0</v>
      </c>
      <c r="J46" s="209">
        <v>46258.0</v>
      </c>
      <c r="K46" s="211">
        <f t="shared" si="14"/>
        <v>1</v>
      </c>
      <c r="L46" s="212">
        <f>IF(OR(ISBLANK($I46), ISBLANK($J46)), "", IF('진척율보고서'!$M$4 &lt; $I46, 0, IF('진척율보고서'!$M$4 &gt;= $J46, 1, NETWORKDAYS($I46,'진척율보고서'!$M$4)/$K46)))</f>
        <v>0</v>
      </c>
      <c r="M46" s="213" t="s">
        <v>163</v>
      </c>
      <c r="N46" s="214">
        <f t="shared" si="15"/>
        <v>0</v>
      </c>
      <c r="O46" s="227"/>
      <c r="P46" s="229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</row>
    <row r="47" ht="14.25" customHeight="1">
      <c r="A47" s="142"/>
      <c r="B47" s="184"/>
      <c r="C47" s="196"/>
      <c r="D47" s="196"/>
      <c r="E47" s="196" t="s">
        <v>212</v>
      </c>
      <c r="F47" s="206" t="s">
        <v>205</v>
      </c>
      <c r="G47" s="217" t="s">
        <v>168</v>
      </c>
      <c r="H47" s="208"/>
      <c r="I47" s="209">
        <v>46293.0</v>
      </c>
      <c r="J47" s="209">
        <v>46293.0</v>
      </c>
      <c r="K47" s="211">
        <f t="shared" si="14"/>
        <v>1</v>
      </c>
      <c r="L47" s="212">
        <f>IF(OR(ISBLANK($I47), ISBLANK($J47)), "", IF('진척율보고서'!$M$4 &lt; $I47, 0, IF('진척율보고서'!$M$4 &gt;= $J47, 1, NETWORKDAYS($I47,'진척율보고서'!$M$4)/$K47)))</f>
        <v>0</v>
      </c>
      <c r="M47" s="213" t="s">
        <v>163</v>
      </c>
      <c r="N47" s="214">
        <f t="shared" si="15"/>
        <v>0</v>
      </c>
      <c r="O47" s="227"/>
      <c r="P47" s="229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</row>
    <row r="48" ht="14.25" customHeight="1">
      <c r="A48" s="142"/>
      <c r="B48" s="184"/>
      <c r="C48" s="196"/>
      <c r="D48" s="196"/>
      <c r="E48" s="196" t="s">
        <v>213</v>
      </c>
      <c r="F48" s="206" t="s">
        <v>205</v>
      </c>
      <c r="G48" s="217" t="s">
        <v>168</v>
      </c>
      <c r="H48" s="208"/>
      <c r="I48" s="209">
        <v>46321.0</v>
      </c>
      <c r="J48" s="209">
        <v>46321.0</v>
      </c>
      <c r="K48" s="211">
        <f t="shared" si="14"/>
        <v>1</v>
      </c>
      <c r="L48" s="212">
        <f>IF(OR(ISBLANK($I48), ISBLANK($J48)), "", IF('진척율보고서'!$M$4 &lt; $I48, 0, IF('진척율보고서'!$M$4 &gt;= $J48, 1, NETWORKDAYS($I48,'진척율보고서'!$M$4)/$K48)))</f>
        <v>0</v>
      </c>
      <c r="M48" s="213" t="s">
        <v>163</v>
      </c>
      <c r="N48" s="214">
        <f t="shared" si="15"/>
        <v>0</v>
      </c>
      <c r="O48" s="227"/>
      <c r="P48" s="229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</row>
    <row r="49" ht="14.25" customHeight="1">
      <c r="A49" s="142"/>
      <c r="B49" s="184"/>
      <c r="C49" s="196"/>
      <c r="D49" s="196"/>
      <c r="E49" s="196" t="s">
        <v>214</v>
      </c>
      <c r="F49" s="206" t="s">
        <v>205</v>
      </c>
      <c r="G49" s="217" t="s">
        <v>168</v>
      </c>
      <c r="H49" s="208"/>
      <c r="I49" s="209">
        <v>46352.0</v>
      </c>
      <c r="J49" s="209">
        <v>46352.0</v>
      </c>
      <c r="K49" s="211">
        <f t="shared" si="14"/>
        <v>1</v>
      </c>
      <c r="L49" s="212">
        <f>IF(OR(ISBLANK($I49), ISBLANK($J49)), "", IF('진척율보고서'!$M$4 &lt; $I49, 0, IF('진척율보고서'!$M$4 &gt;= $J49, 1, NETWORKDAYS($I49,'진척율보고서'!$M$4)/$K49)))</f>
        <v>0</v>
      </c>
      <c r="M49" s="213" t="s">
        <v>163</v>
      </c>
      <c r="N49" s="214">
        <f t="shared" si="15"/>
        <v>0</v>
      </c>
      <c r="O49" s="227"/>
      <c r="P49" s="229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ht="14.25" customHeight="1">
      <c r="A50" s="142"/>
      <c r="B50" s="184"/>
      <c r="C50" s="196"/>
      <c r="D50" s="196"/>
      <c r="E50" s="196" t="s">
        <v>215</v>
      </c>
      <c r="F50" s="206" t="s">
        <v>205</v>
      </c>
      <c r="G50" s="217" t="s">
        <v>168</v>
      </c>
      <c r="H50" s="208"/>
      <c r="I50" s="209">
        <v>46384.0</v>
      </c>
      <c r="J50" s="209">
        <v>46384.0</v>
      </c>
      <c r="K50" s="211">
        <f t="shared" si="14"/>
        <v>1</v>
      </c>
      <c r="L50" s="212">
        <f>IF(OR(ISBLANK($I50), ISBLANK($J50)), "", IF('진척율보고서'!$M$4 &lt; $I50, 0, IF('진척율보고서'!$M$4 &gt;= $J50, 1, NETWORKDAYS($I50,'진척율보고서'!$M$4)/$K50)))</f>
        <v>0</v>
      </c>
      <c r="M50" s="213" t="s">
        <v>163</v>
      </c>
      <c r="N50" s="214">
        <f t="shared" si="15"/>
        <v>0</v>
      </c>
      <c r="O50" s="227"/>
      <c r="P50" s="229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</row>
    <row r="51" ht="13.5" customHeight="1">
      <c r="A51" s="142"/>
      <c r="B51" s="184"/>
      <c r="C51" s="185" t="s">
        <v>216</v>
      </c>
      <c r="D51" s="186"/>
      <c r="E51" s="186"/>
      <c r="F51" s="186"/>
      <c r="G51" s="187"/>
      <c r="H51" s="187"/>
      <c r="I51" s="188">
        <f>MIN(I52:I55)</f>
        <v>46357</v>
      </c>
      <c r="J51" s="189">
        <f>MAX(J52:J55)</f>
        <v>46372</v>
      </c>
      <c r="K51" s="190">
        <f t="shared" si="14"/>
        <v>12</v>
      </c>
      <c r="L51" s="191">
        <f>SUM(L52:L55)/COUNT(L52:L55)</f>
        <v>0</v>
      </c>
      <c r="M51" s="192"/>
      <c r="N51" s="193">
        <f>SUM(N52:N55)/COUNT(N52:N55)</f>
        <v>0</v>
      </c>
      <c r="O51" s="189"/>
      <c r="P51" s="194"/>
      <c r="Q51" s="195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</row>
    <row r="52" ht="13.5" customHeight="1">
      <c r="A52" s="142"/>
      <c r="B52" s="184"/>
      <c r="C52" s="196"/>
      <c r="D52" s="197" t="s">
        <v>216</v>
      </c>
      <c r="E52" s="197"/>
      <c r="F52" s="220"/>
      <c r="G52" s="198"/>
      <c r="H52" s="198"/>
      <c r="I52" s="199"/>
      <c r="J52" s="200"/>
      <c r="K52" s="201"/>
      <c r="L52" s="202"/>
      <c r="M52" s="203"/>
      <c r="N52" s="204"/>
      <c r="O52" s="200"/>
      <c r="P52" s="205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ht="13.5" customHeight="1">
      <c r="A53" s="142"/>
      <c r="B53" s="184"/>
      <c r="C53" s="196"/>
      <c r="D53" s="196"/>
      <c r="E53" s="196" t="s">
        <v>217</v>
      </c>
      <c r="F53" s="206"/>
      <c r="G53" s="217" t="s">
        <v>168</v>
      </c>
      <c r="H53" s="208"/>
      <c r="I53" s="209">
        <v>46357.0</v>
      </c>
      <c r="J53" s="209">
        <v>46360.0</v>
      </c>
      <c r="K53" s="211">
        <f t="shared" ref="K53:K56" si="16">IF(OR(ISBLANK($I53), ISBLANK($J53)),"",NETWORKDAYS($I53,$J53))</f>
        <v>4</v>
      </c>
      <c r="L53" s="212">
        <f>IF(OR(ISBLANK($I53), ISBLANK($J53)), "", IF('진척율보고서'!$M$4 &lt; $I53, 0, IF('진척율보고서'!$M$4 &gt;= $J53, 1, NETWORKDAYS($I53,'진척율보고서'!$M$4)/$K53)))</f>
        <v>0</v>
      </c>
      <c r="M53" s="213" t="s">
        <v>163</v>
      </c>
      <c r="N53" s="214">
        <f t="shared" ref="N53:N55" si="17">IF($M53="완료",1,IF($M53="PM확인",0.95,IF($M53="PL확인",0.8,IF($M53="테스트",0.7,IF($M53="수행2단계",0.55,IF($M53="수행1단계",0.35,IF($M53="착수",0.2,IF($M53="미착수",0,""))))))))</f>
        <v>0</v>
      </c>
      <c r="O53" s="219"/>
      <c r="P53" s="216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</row>
    <row r="54" ht="13.5" customHeight="1">
      <c r="A54" s="142"/>
      <c r="B54" s="184"/>
      <c r="C54" s="196"/>
      <c r="D54" s="196"/>
      <c r="E54" s="196" t="s">
        <v>218</v>
      </c>
      <c r="F54" s="206"/>
      <c r="G54" s="217" t="s">
        <v>168</v>
      </c>
      <c r="H54" s="208"/>
      <c r="I54" s="209">
        <v>46357.0</v>
      </c>
      <c r="J54" s="209">
        <v>46360.0</v>
      </c>
      <c r="K54" s="211">
        <f t="shared" si="16"/>
        <v>4</v>
      </c>
      <c r="L54" s="212">
        <f>IF(OR(ISBLANK($I54), ISBLANK($J54)), "", IF('진척율보고서'!$M$4 &lt; $I54, 0, IF('진척율보고서'!$M$4 &gt;= $J54, 1, NETWORKDAYS($I54,'진척율보고서'!$M$4)/$K54)))</f>
        <v>0</v>
      </c>
      <c r="M54" s="213" t="s">
        <v>163</v>
      </c>
      <c r="N54" s="214">
        <f t="shared" si="17"/>
        <v>0</v>
      </c>
      <c r="O54" s="219"/>
      <c r="P54" s="216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</row>
    <row r="55" ht="13.5" customHeight="1">
      <c r="A55" s="142"/>
      <c r="B55" s="184"/>
      <c r="C55" s="196"/>
      <c r="D55" s="196"/>
      <c r="E55" s="196" t="s">
        <v>219</v>
      </c>
      <c r="F55" s="206"/>
      <c r="G55" s="217" t="s">
        <v>168</v>
      </c>
      <c r="H55" s="208"/>
      <c r="I55" s="209">
        <v>46368.0</v>
      </c>
      <c r="J55" s="209">
        <v>46372.0</v>
      </c>
      <c r="K55" s="211">
        <f t="shared" si="16"/>
        <v>3</v>
      </c>
      <c r="L55" s="212">
        <f>IF(OR(ISBLANK($I55), ISBLANK($J55)), "", IF('진척율보고서'!$M$4 &lt; $I55, 0, IF('진척율보고서'!$M$4 &gt;= $J55, 1, NETWORKDAYS($I55,'진척율보고서'!$M$4)/$K55)))</f>
        <v>0</v>
      </c>
      <c r="M55" s="213" t="s">
        <v>163</v>
      </c>
      <c r="N55" s="214">
        <f t="shared" si="17"/>
        <v>0</v>
      </c>
      <c r="O55" s="219"/>
      <c r="P55" s="216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</row>
    <row r="56" ht="13.5" customHeight="1">
      <c r="A56" s="142"/>
      <c r="B56" s="184"/>
      <c r="C56" s="185" t="s">
        <v>220</v>
      </c>
      <c r="D56" s="186"/>
      <c r="E56" s="186"/>
      <c r="F56" s="186"/>
      <c r="G56" s="187"/>
      <c r="H56" s="187"/>
      <c r="I56" s="188">
        <f>MIN(I57:I61)</f>
        <v>46382</v>
      </c>
      <c r="J56" s="189">
        <f>MAX(J57:J61)</f>
        <v>46386</v>
      </c>
      <c r="K56" s="190">
        <f t="shared" si="16"/>
        <v>3</v>
      </c>
      <c r="L56" s="191">
        <f>SUM(L57:L61)/COUNT(L57:L61)</f>
        <v>0</v>
      </c>
      <c r="M56" s="192"/>
      <c r="N56" s="193">
        <f>SUM(N57:N61)/COUNT(N57:N61)</f>
        <v>0</v>
      </c>
      <c r="O56" s="189"/>
      <c r="P56" s="194"/>
      <c r="Q56" s="195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</row>
    <row r="57" ht="13.5" customHeight="1">
      <c r="A57" s="142"/>
      <c r="B57" s="184"/>
      <c r="C57" s="196"/>
      <c r="D57" s="197" t="s">
        <v>221</v>
      </c>
      <c r="E57" s="197"/>
      <c r="F57" s="220"/>
      <c r="G57" s="198"/>
      <c r="H57" s="198"/>
      <c r="I57" s="199"/>
      <c r="J57" s="200"/>
      <c r="K57" s="201"/>
      <c r="L57" s="202"/>
      <c r="M57" s="203"/>
      <c r="N57" s="204"/>
      <c r="O57" s="200"/>
      <c r="P57" s="205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</row>
    <row r="58" ht="13.5" customHeight="1">
      <c r="A58" s="142"/>
      <c r="B58" s="184"/>
      <c r="C58" s="196"/>
      <c r="D58" s="196"/>
      <c r="E58" s="196" t="s">
        <v>222</v>
      </c>
      <c r="F58" s="206"/>
      <c r="G58" s="217" t="s">
        <v>168</v>
      </c>
      <c r="H58" s="208"/>
      <c r="I58" s="209">
        <v>46386.0</v>
      </c>
      <c r="J58" s="209">
        <v>46386.0</v>
      </c>
      <c r="K58" s="211">
        <f t="shared" ref="K58:K62" si="18">IF(OR(ISBLANK($I58), ISBLANK($J58)),"",NETWORKDAYS($I58,$J58))</f>
        <v>1</v>
      </c>
      <c r="L58" s="212">
        <f>IF(OR(ISBLANK($I58), ISBLANK($J58)), "", IF('진척율보고서'!$M$4 &lt; $I58, 0, IF('진척율보고서'!$M$4 &gt;= $J58, 1, NETWORKDAYS($I58,'진척율보고서'!$M$4)/$K58)))</f>
        <v>0</v>
      </c>
      <c r="M58" s="213" t="s">
        <v>163</v>
      </c>
      <c r="N58" s="214">
        <f t="shared" ref="N58:N61" si="19">IF($M58="완료",1,IF($M58="PM확인",0.95,IF($M58="PL확인",0.8,IF($M58="테스트",0.7,IF($M58="수행2단계",0.55,IF($M58="수행1단계",0.35,IF($M58="착수",0.2,IF($M58="미착수",0,""))))))))</f>
        <v>0</v>
      </c>
      <c r="O58" s="219"/>
      <c r="P58" s="216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</row>
    <row r="59" ht="13.5" customHeight="1">
      <c r="A59" s="142"/>
      <c r="B59" s="184"/>
      <c r="C59" s="196"/>
      <c r="D59" s="196"/>
      <c r="E59" s="196" t="s">
        <v>223</v>
      </c>
      <c r="F59" s="196" t="s">
        <v>224</v>
      </c>
      <c r="G59" s="217" t="s">
        <v>168</v>
      </c>
      <c r="H59" s="208"/>
      <c r="I59" s="209">
        <v>46382.0</v>
      </c>
      <c r="J59" s="209">
        <v>46386.0</v>
      </c>
      <c r="K59" s="211">
        <f t="shared" si="18"/>
        <v>3</v>
      </c>
      <c r="L59" s="212">
        <f>IF(OR(ISBLANK($I59), ISBLANK($J59)), "", IF('진척율보고서'!$M$4 &lt; $I59, 0, IF('진척율보고서'!$M$4 &gt;= $J59, 1, NETWORKDAYS($I59,'진척율보고서'!$M$4)/$K59)))</f>
        <v>0</v>
      </c>
      <c r="M59" s="213" t="s">
        <v>163</v>
      </c>
      <c r="N59" s="214">
        <f t="shared" si="19"/>
        <v>0</v>
      </c>
      <c r="O59" s="227"/>
      <c r="P59" s="216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ht="13.5" customHeight="1">
      <c r="A60" s="142"/>
      <c r="B60" s="184"/>
      <c r="C60" s="196"/>
      <c r="D60" s="196"/>
      <c r="E60" s="196" t="s">
        <v>225</v>
      </c>
      <c r="F60" s="206" t="s">
        <v>226</v>
      </c>
      <c r="G60" s="217" t="s">
        <v>168</v>
      </c>
      <c r="H60" s="208"/>
      <c r="I60" s="209">
        <v>46382.0</v>
      </c>
      <c r="J60" s="209">
        <v>46386.0</v>
      </c>
      <c r="K60" s="211">
        <f t="shared" si="18"/>
        <v>3</v>
      </c>
      <c r="L60" s="212">
        <f>IF(OR(ISBLANK($I60), ISBLANK($J60)), "", IF('진척율보고서'!$M$4 &lt; $I60, 0, IF('진척율보고서'!$M$4 &gt;= $J60, 1, NETWORKDAYS($I60,'진척율보고서'!$M$4)/$K60)))</f>
        <v>0</v>
      </c>
      <c r="M60" s="213" t="s">
        <v>163</v>
      </c>
      <c r="N60" s="214">
        <f t="shared" si="19"/>
        <v>0</v>
      </c>
      <c r="O60" s="219"/>
      <c r="P60" s="216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</row>
    <row r="61" ht="13.5" customHeight="1">
      <c r="A61" s="142"/>
      <c r="B61" s="184"/>
      <c r="C61" s="196"/>
      <c r="D61" s="196"/>
      <c r="E61" s="196" t="s">
        <v>227</v>
      </c>
      <c r="F61" s="196"/>
      <c r="G61" s="217" t="s">
        <v>168</v>
      </c>
      <c r="H61" s="208"/>
      <c r="I61" s="209">
        <v>46382.0</v>
      </c>
      <c r="J61" s="209">
        <v>46386.0</v>
      </c>
      <c r="K61" s="211">
        <f t="shared" si="18"/>
        <v>3</v>
      </c>
      <c r="L61" s="212">
        <f>IF(OR(ISBLANK($I61), ISBLANK($J61)), "", IF('진척율보고서'!$M$4 &lt; $I61, 0, IF('진척율보고서'!$M$4 &gt;= $J61, 1, NETWORKDAYS($I61,'진척율보고서'!$M$4)/$K61)))</f>
        <v>0</v>
      </c>
      <c r="M61" s="213" t="s">
        <v>163</v>
      </c>
      <c r="N61" s="214">
        <f t="shared" si="19"/>
        <v>0</v>
      </c>
      <c r="O61" s="219"/>
      <c r="P61" s="216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</row>
    <row r="62" ht="13.5" customHeight="1">
      <c r="A62" s="142"/>
      <c r="B62" s="184"/>
      <c r="C62" s="185" t="s">
        <v>228</v>
      </c>
      <c r="D62" s="186"/>
      <c r="E62" s="186"/>
      <c r="F62" s="186"/>
      <c r="G62" s="187"/>
      <c r="H62" s="187"/>
      <c r="I62" s="188">
        <f>MIN(I63:I123)</f>
        <v>46062</v>
      </c>
      <c r="J62" s="189">
        <f>MAX(J63:J123)</f>
        <v>46384</v>
      </c>
      <c r="K62" s="190">
        <f t="shared" si="18"/>
        <v>231</v>
      </c>
      <c r="L62" s="191">
        <f>SUM(L63:L123)/COUNT(L63:L123)</f>
        <v>0.1379310345</v>
      </c>
      <c r="M62" s="192"/>
      <c r="N62" s="193">
        <f>SUM(N63:N123)/COUNT(N63:N123)</f>
        <v>0.1379310345</v>
      </c>
      <c r="O62" s="222"/>
      <c r="P62" s="194"/>
      <c r="Q62" s="195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</row>
    <row r="63" ht="13.5" customHeight="1">
      <c r="A63" s="230"/>
      <c r="B63" s="231"/>
      <c r="C63" s="196"/>
      <c r="D63" s="197" t="s">
        <v>229</v>
      </c>
      <c r="E63" s="197"/>
      <c r="F63" s="197"/>
      <c r="G63" s="198"/>
      <c r="H63" s="198"/>
      <c r="I63" s="199"/>
      <c r="J63" s="200"/>
      <c r="K63" s="201"/>
      <c r="L63" s="202"/>
      <c r="M63" s="203"/>
      <c r="N63" s="204"/>
      <c r="O63" s="224"/>
      <c r="P63" s="205"/>
      <c r="Q63" s="230"/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230"/>
      <c r="AI63" s="230"/>
      <c r="AJ63" s="230"/>
    </row>
    <row r="64" ht="14.25" customHeight="1">
      <c r="A64" s="142"/>
      <c r="B64" s="184"/>
      <c r="C64" s="196"/>
      <c r="D64" s="196"/>
      <c r="E64" s="196" t="s">
        <v>230</v>
      </c>
      <c r="F64" s="206" t="s">
        <v>231</v>
      </c>
      <c r="G64" s="217" t="s">
        <v>232</v>
      </c>
      <c r="H64" s="208"/>
      <c r="I64" s="209">
        <v>46062.0</v>
      </c>
      <c r="J64" s="209">
        <v>46062.0</v>
      </c>
      <c r="K64" s="211">
        <f t="shared" ref="K64:K110" si="20">IF(OR(ISBLANK($I64), ISBLANK($J64)),"",NETWORKDAYS($I64,$J64))</f>
        <v>1</v>
      </c>
      <c r="L64" s="212">
        <f>IF(OR(ISBLANK($I64), ISBLANK($J64)), "", IF('진척율보고서'!$M$4 &lt; $I64, 0, IF('진척율보고서'!$M$4 &gt;= $J64, 1, NETWORKDAYS($I64,'진척율보고서'!$M$4)/$K64)))</f>
        <v>1</v>
      </c>
      <c r="M64" s="213" t="s">
        <v>158</v>
      </c>
      <c r="N64" s="214">
        <f t="shared" ref="N64:N110" si="21">IF($M64="완료",1,IF($M64="PM확인",0.95,IF($M64="PL확인",0.8,IF($M64="테스트",0.7,IF($M64="수행2단계",0.55,IF($M64="수행1단계",0.35,IF($M64="착수",0.2,IF($M64="미착수",0,""))))))))</f>
        <v>1</v>
      </c>
      <c r="O64" s="209">
        <v>46062.0</v>
      </c>
      <c r="P64" s="209">
        <v>46062.0</v>
      </c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</row>
    <row r="65" ht="14.25" customHeight="1">
      <c r="A65" s="142"/>
      <c r="B65" s="184"/>
      <c r="C65" s="196"/>
      <c r="D65" s="196"/>
      <c r="E65" s="196" t="s">
        <v>233</v>
      </c>
      <c r="F65" s="206" t="s">
        <v>231</v>
      </c>
      <c r="G65" s="217" t="s">
        <v>232</v>
      </c>
      <c r="H65" s="208"/>
      <c r="I65" s="209">
        <v>46069.0</v>
      </c>
      <c r="J65" s="209">
        <v>46069.0</v>
      </c>
      <c r="K65" s="211">
        <f t="shared" si="20"/>
        <v>1</v>
      </c>
      <c r="L65" s="212">
        <f>IF(OR(ISBLANK($I65), ISBLANK($J65)), "", IF('진척율보고서'!$M$4 &lt; $I65, 0, IF('진척율보고서'!$M$4 &gt;= $J65, 1, NETWORKDAYS($I65,'진척율보고서'!$M$4)/$K65)))</f>
        <v>1</v>
      </c>
      <c r="M65" s="213" t="s">
        <v>158</v>
      </c>
      <c r="N65" s="214">
        <f t="shared" si="21"/>
        <v>1</v>
      </c>
      <c r="O65" s="209">
        <v>46069.0</v>
      </c>
      <c r="P65" s="209">
        <v>46069.0</v>
      </c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</row>
    <row r="66" ht="14.25" customHeight="1">
      <c r="A66" s="142"/>
      <c r="B66" s="184"/>
      <c r="C66" s="196"/>
      <c r="D66" s="196"/>
      <c r="E66" s="196" t="s">
        <v>234</v>
      </c>
      <c r="F66" s="206" t="s">
        <v>231</v>
      </c>
      <c r="G66" s="217" t="s">
        <v>232</v>
      </c>
      <c r="H66" s="208"/>
      <c r="I66" s="209">
        <v>46076.0</v>
      </c>
      <c r="J66" s="209">
        <v>46076.0</v>
      </c>
      <c r="K66" s="211">
        <f t="shared" si="20"/>
        <v>1</v>
      </c>
      <c r="L66" s="212">
        <f>IF(OR(ISBLANK($I66), ISBLANK($J66)), "", IF('진척율보고서'!$M$4 &lt; $I66, 0, IF('진척율보고서'!$M$4 &gt;= $J66, 1, NETWORKDAYS($I66,'진척율보고서'!$M$4)/$K66)))</f>
        <v>1</v>
      </c>
      <c r="M66" s="213" t="s">
        <v>158</v>
      </c>
      <c r="N66" s="214">
        <f t="shared" si="21"/>
        <v>1</v>
      </c>
      <c r="O66" s="210">
        <v>46076.0</v>
      </c>
      <c r="P66" s="232">
        <v>46076.0</v>
      </c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</row>
    <row r="67" ht="14.25" customHeight="1">
      <c r="A67" s="142"/>
      <c r="B67" s="184"/>
      <c r="C67" s="196"/>
      <c r="D67" s="196"/>
      <c r="E67" s="196" t="s">
        <v>235</v>
      </c>
      <c r="F67" s="206" t="s">
        <v>231</v>
      </c>
      <c r="G67" s="217" t="s">
        <v>232</v>
      </c>
      <c r="H67" s="208"/>
      <c r="I67" s="209">
        <v>46083.0</v>
      </c>
      <c r="J67" s="209">
        <v>46083.0</v>
      </c>
      <c r="K67" s="211">
        <f t="shared" si="20"/>
        <v>1</v>
      </c>
      <c r="L67" s="212">
        <f>IF(OR(ISBLANK($I67), ISBLANK($J67)), "", IF('진척율보고서'!$M$4 &lt; $I67, 0, IF('진척율보고서'!$M$4 &gt;= $J67, 1, NETWORKDAYS($I67,'진척율보고서'!$M$4)/$K67)))</f>
        <v>1</v>
      </c>
      <c r="M67" s="213" t="s">
        <v>158</v>
      </c>
      <c r="N67" s="214">
        <f t="shared" si="21"/>
        <v>1</v>
      </c>
      <c r="O67" s="210">
        <v>46083.0</v>
      </c>
      <c r="P67" s="232">
        <v>46083.0</v>
      </c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</row>
    <row r="68" ht="14.25" customHeight="1">
      <c r="A68" s="142"/>
      <c r="B68" s="184"/>
      <c r="C68" s="196"/>
      <c r="D68" s="196"/>
      <c r="E68" s="196" t="s">
        <v>236</v>
      </c>
      <c r="F68" s="206" t="s">
        <v>231</v>
      </c>
      <c r="G68" s="217" t="s">
        <v>232</v>
      </c>
      <c r="H68" s="208"/>
      <c r="I68" s="209">
        <v>46090.0</v>
      </c>
      <c r="J68" s="209">
        <v>46090.0</v>
      </c>
      <c r="K68" s="211">
        <f t="shared" si="20"/>
        <v>1</v>
      </c>
      <c r="L68" s="212">
        <f>IF(OR(ISBLANK($I68), ISBLANK($J68)), "", IF('진척율보고서'!$M$4 &lt; $I68, 0, IF('진척율보고서'!$M$4 &gt;= $J68, 1, NETWORKDAYS($I68,'진척율보고서'!$M$4)/$K68)))</f>
        <v>1</v>
      </c>
      <c r="M68" s="213" t="s">
        <v>158</v>
      </c>
      <c r="N68" s="214">
        <f t="shared" si="21"/>
        <v>1</v>
      </c>
      <c r="O68" s="210">
        <v>46090.0</v>
      </c>
      <c r="P68" s="232">
        <v>46090.0</v>
      </c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</row>
    <row r="69" ht="14.25" customHeight="1">
      <c r="A69" s="142"/>
      <c r="B69" s="184"/>
      <c r="C69" s="196"/>
      <c r="D69" s="196"/>
      <c r="E69" s="196" t="s">
        <v>237</v>
      </c>
      <c r="F69" s="206" t="s">
        <v>231</v>
      </c>
      <c r="G69" s="217" t="s">
        <v>232</v>
      </c>
      <c r="H69" s="208"/>
      <c r="I69" s="209">
        <v>46097.0</v>
      </c>
      <c r="J69" s="209">
        <v>46097.0</v>
      </c>
      <c r="K69" s="211">
        <f t="shared" si="20"/>
        <v>1</v>
      </c>
      <c r="L69" s="212">
        <f>IF(OR(ISBLANK($I69), ISBLANK($J69)), "", IF('진척율보고서'!$M$4 &lt; $I69, 0, IF('진척율보고서'!$M$4 &gt;= $J69, 1, NETWORKDAYS($I69,'진척율보고서'!$M$4)/$K69)))</f>
        <v>1</v>
      </c>
      <c r="M69" s="213" t="s">
        <v>158</v>
      </c>
      <c r="N69" s="214">
        <f t="shared" si="21"/>
        <v>1</v>
      </c>
      <c r="O69" s="209">
        <v>46097.0</v>
      </c>
      <c r="P69" s="209">
        <v>46097.0</v>
      </c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</row>
    <row r="70" ht="14.25" customHeight="1">
      <c r="A70" s="142"/>
      <c r="B70" s="184"/>
      <c r="C70" s="196"/>
      <c r="D70" s="196"/>
      <c r="E70" s="196" t="s">
        <v>238</v>
      </c>
      <c r="F70" s="206" t="s">
        <v>231</v>
      </c>
      <c r="G70" s="217" t="s">
        <v>232</v>
      </c>
      <c r="H70" s="208"/>
      <c r="I70" s="209">
        <v>46104.0</v>
      </c>
      <c r="J70" s="209">
        <v>46104.0</v>
      </c>
      <c r="K70" s="211">
        <f t="shared" si="20"/>
        <v>1</v>
      </c>
      <c r="L70" s="212">
        <f>IF(OR(ISBLANK($I70), ISBLANK($J70)), "", IF('진척율보고서'!$M$4 &lt; $I70, 0, IF('진척율보고서'!$M$4 &gt;= $J70, 1, NETWORKDAYS($I70,'진척율보고서'!$M$4)/$K70)))</f>
        <v>1</v>
      </c>
      <c r="M70" s="213" t="s">
        <v>158</v>
      </c>
      <c r="N70" s="214">
        <f t="shared" si="21"/>
        <v>1</v>
      </c>
      <c r="O70" s="210"/>
      <c r="P70" s="23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</row>
    <row r="71" ht="14.25" customHeight="1">
      <c r="A71" s="142"/>
      <c r="B71" s="184"/>
      <c r="C71" s="196"/>
      <c r="D71" s="196"/>
      <c r="E71" s="196" t="s">
        <v>239</v>
      </c>
      <c r="F71" s="206" t="s">
        <v>231</v>
      </c>
      <c r="G71" s="217" t="s">
        <v>232</v>
      </c>
      <c r="H71" s="208"/>
      <c r="I71" s="209">
        <v>46111.0</v>
      </c>
      <c r="J71" s="209">
        <v>46111.0</v>
      </c>
      <c r="K71" s="211">
        <f t="shared" si="20"/>
        <v>1</v>
      </c>
      <c r="L71" s="212">
        <f>IF(OR(ISBLANK($I71), ISBLANK($J71)), "", IF('진척율보고서'!$M$4 &lt; $I71, 0, IF('진척율보고서'!$M$4 &gt;= $J71, 1, NETWORKDAYS($I71,'진척율보고서'!$M$4)/$K71)))</f>
        <v>0</v>
      </c>
      <c r="M71" s="213" t="s">
        <v>163</v>
      </c>
      <c r="N71" s="214">
        <f t="shared" si="21"/>
        <v>0</v>
      </c>
      <c r="O71" s="210"/>
      <c r="P71" s="232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</row>
    <row r="72" ht="14.25" customHeight="1">
      <c r="A72" s="142"/>
      <c r="B72" s="184"/>
      <c r="C72" s="196"/>
      <c r="D72" s="196"/>
      <c r="E72" s="196" t="s">
        <v>240</v>
      </c>
      <c r="F72" s="206" t="s">
        <v>231</v>
      </c>
      <c r="G72" s="217" t="s">
        <v>232</v>
      </c>
      <c r="H72" s="208"/>
      <c r="I72" s="209">
        <v>46118.0</v>
      </c>
      <c r="J72" s="209">
        <v>46118.0</v>
      </c>
      <c r="K72" s="211">
        <f t="shared" si="20"/>
        <v>1</v>
      </c>
      <c r="L72" s="212">
        <f>IF(OR(ISBLANK($I72), ISBLANK($J72)), "", IF('진척율보고서'!$M$4 &lt; $I72, 0, IF('진척율보고서'!$M$4 &gt;= $J72, 1, NETWORKDAYS($I72,'진척율보고서'!$M$4)/$K72)))</f>
        <v>0</v>
      </c>
      <c r="M72" s="213" t="s">
        <v>163</v>
      </c>
      <c r="N72" s="214">
        <f t="shared" si="21"/>
        <v>0</v>
      </c>
      <c r="O72" s="210"/>
      <c r="P72" s="23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</row>
    <row r="73" ht="14.25" customHeight="1">
      <c r="A73" s="142"/>
      <c r="B73" s="184"/>
      <c r="C73" s="196"/>
      <c r="D73" s="196"/>
      <c r="E73" s="196" t="s">
        <v>241</v>
      </c>
      <c r="F73" s="206" t="s">
        <v>231</v>
      </c>
      <c r="G73" s="217" t="s">
        <v>232</v>
      </c>
      <c r="H73" s="208"/>
      <c r="I73" s="209">
        <v>46125.0</v>
      </c>
      <c r="J73" s="209">
        <v>46125.0</v>
      </c>
      <c r="K73" s="211">
        <f t="shared" si="20"/>
        <v>1</v>
      </c>
      <c r="L73" s="212">
        <f>IF(OR(ISBLANK($I73), ISBLANK($J73)), "", IF('진척율보고서'!$M$4 &lt; $I73, 0, IF('진척율보고서'!$M$4 &gt;= $J73, 1, NETWORKDAYS($I73,'진척율보고서'!$M$4)/$K73)))</f>
        <v>0</v>
      </c>
      <c r="M73" s="213" t="s">
        <v>163</v>
      </c>
      <c r="N73" s="214">
        <f t="shared" si="21"/>
        <v>0</v>
      </c>
      <c r="O73" s="210"/>
      <c r="P73" s="232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</row>
    <row r="74" ht="14.25" customHeight="1">
      <c r="A74" s="142"/>
      <c r="B74" s="184"/>
      <c r="C74" s="196"/>
      <c r="D74" s="196"/>
      <c r="E74" s="196" t="s">
        <v>242</v>
      </c>
      <c r="F74" s="206" t="s">
        <v>231</v>
      </c>
      <c r="G74" s="217" t="s">
        <v>232</v>
      </c>
      <c r="H74" s="208"/>
      <c r="I74" s="209">
        <v>46132.0</v>
      </c>
      <c r="J74" s="209">
        <v>46132.0</v>
      </c>
      <c r="K74" s="211">
        <f t="shared" si="20"/>
        <v>1</v>
      </c>
      <c r="L74" s="212">
        <f>IF(OR(ISBLANK($I74), ISBLANK($J74)), "", IF('진척율보고서'!$M$4 &lt; $I74, 0, IF('진척율보고서'!$M$4 &gt;= $J74, 1, NETWORKDAYS($I74,'진척율보고서'!$M$4)/$K74)))</f>
        <v>0</v>
      </c>
      <c r="M74" s="213" t="s">
        <v>163</v>
      </c>
      <c r="N74" s="214">
        <f t="shared" si="21"/>
        <v>0</v>
      </c>
      <c r="O74" s="210"/>
      <c r="P74" s="23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</row>
    <row r="75" ht="14.25" customHeight="1">
      <c r="A75" s="142"/>
      <c r="B75" s="184"/>
      <c r="C75" s="196"/>
      <c r="D75" s="196"/>
      <c r="E75" s="196" t="s">
        <v>243</v>
      </c>
      <c r="F75" s="206" t="s">
        <v>231</v>
      </c>
      <c r="G75" s="217" t="s">
        <v>232</v>
      </c>
      <c r="H75" s="208"/>
      <c r="I75" s="209">
        <v>46139.0</v>
      </c>
      <c r="J75" s="209">
        <v>46139.0</v>
      </c>
      <c r="K75" s="211">
        <f t="shared" si="20"/>
        <v>1</v>
      </c>
      <c r="L75" s="212">
        <f>IF(OR(ISBLANK($I75), ISBLANK($J75)), "", IF('진척율보고서'!$M$4 &lt; $I75, 0, IF('진척율보고서'!$M$4 &gt;= $J75, 1, NETWORKDAYS($I75,'진척율보고서'!$M$4)/$K75)))</f>
        <v>0</v>
      </c>
      <c r="M75" s="213" t="s">
        <v>163</v>
      </c>
      <c r="N75" s="214">
        <f t="shared" si="21"/>
        <v>0</v>
      </c>
      <c r="O75" s="210"/>
      <c r="P75" s="23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</row>
    <row r="76" ht="14.25" customHeight="1">
      <c r="A76" s="142"/>
      <c r="B76" s="184"/>
      <c r="C76" s="196"/>
      <c r="D76" s="196"/>
      <c r="E76" s="196" t="s">
        <v>244</v>
      </c>
      <c r="F76" s="206" t="s">
        <v>231</v>
      </c>
      <c r="G76" s="217" t="s">
        <v>232</v>
      </c>
      <c r="H76" s="208"/>
      <c r="I76" s="209">
        <v>46146.0</v>
      </c>
      <c r="J76" s="209">
        <v>46146.0</v>
      </c>
      <c r="K76" s="211">
        <f t="shared" si="20"/>
        <v>1</v>
      </c>
      <c r="L76" s="212">
        <f>IF(OR(ISBLANK($I76), ISBLANK($J76)), "", IF('진척율보고서'!$M$4 &lt; $I76, 0, IF('진척율보고서'!$M$4 &gt;= $J76, 1, NETWORKDAYS($I76,'진척율보고서'!$M$4)/$K76)))</f>
        <v>0</v>
      </c>
      <c r="M76" s="213" t="s">
        <v>163</v>
      </c>
      <c r="N76" s="214">
        <f t="shared" si="21"/>
        <v>0</v>
      </c>
      <c r="O76" s="210"/>
      <c r="P76" s="23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</row>
    <row r="77" ht="14.25" customHeight="1">
      <c r="A77" s="142"/>
      <c r="B77" s="184"/>
      <c r="C77" s="196"/>
      <c r="D77" s="196"/>
      <c r="E77" s="196" t="s">
        <v>245</v>
      </c>
      <c r="F77" s="206" t="s">
        <v>231</v>
      </c>
      <c r="G77" s="217" t="s">
        <v>232</v>
      </c>
      <c r="H77" s="208"/>
      <c r="I77" s="209">
        <v>46153.0</v>
      </c>
      <c r="J77" s="209">
        <v>46153.0</v>
      </c>
      <c r="K77" s="211">
        <f t="shared" si="20"/>
        <v>1</v>
      </c>
      <c r="L77" s="212">
        <f>IF(OR(ISBLANK($I77), ISBLANK($J77)), "", IF('진척율보고서'!$M$4 &lt; $I77, 0, IF('진척율보고서'!$M$4 &gt;= $J77, 1, NETWORKDAYS($I77,'진척율보고서'!$M$4)/$K77)))</f>
        <v>0</v>
      </c>
      <c r="M77" s="213" t="s">
        <v>163</v>
      </c>
      <c r="N77" s="214">
        <f t="shared" si="21"/>
        <v>0</v>
      </c>
      <c r="O77" s="210"/>
      <c r="P77" s="232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</row>
    <row r="78" ht="14.25" customHeight="1">
      <c r="A78" s="142"/>
      <c r="B78" s="184"/>
      <c r="C78" s="196"/>
      <c r="D78" s="196"/>
      <c r="E78" s="196" t="s">
        <v>246</v>
      </c>
      <c r="F78" s="206" t="s">
        <v>231</v>
      </c>
      <c r="G78" s="217" t="s">
        <v>232</v>
      </c>
      <c r="H78" s="208"/>
      <c r="I78" s="209">
        <v>46160.0</v>
      </c>
      <c r="J78" s="209">
        <v>46160.0</v>
      </c>
      <c r="K78" s="211">
        <f t="shared" si="20"/>
        <v>1</v>
      </c>
      <c r="L78" s="212">
        <f>IF(OR(ISBLANK($I78), ISBLANK($J78)), "", IF('진척율보고서'!$M$4 &lt; $I78, 0, IF('진척율보고서'!$M$4 &gt;= $J78, 1, NETWORKDAYS($I78,'진척율보고서'!$M$4)/$K78)))</f>
        <v>0</v>
      </c>
      <c r="M78" s="213" t="s">
        <v>163</v>
      </c>
      <c r="N78" s="214">
        <f t="shared" si="21"/>
        <v>0</v>
      </c>
      <c r="O78" s="210"/>
      <c r="P78" s="232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</row>
    <row r="79" ht="14.25" customHeight="1">
      <c r="A79" s="142"/>
      <c r="B79" s="184"/>
      <c r="C79" s="196"/>
      <c r="D79" s="196"/>
      <c r="E79" s="196" t="s">
        <v>247</v>
      </c>
      <c r="F79" s="206" t="s">
        <v>231</v>
      </c>
      <c r="G79" s="217" t="s">
        <v>232</v>
      </c>
      <c r="H79" s="208"/>
      <c r="I79" s="209">
        <v>46167.0</v>
      </c>
      <c r="J79" s="209">
        <v>46167.0</v>
      </c>
      <c r="K79" s="211">
        <f t="shared" si="20"/>
        <v>1</v>
      </c>
      <c r="L79" s="212">
        <f>IF(OR(ISBLANK($I79), ISBLANK($J79)), "", IF('진척율보고서'!$M$4 &lt; $I79, 0, IF('진척율보고서'!$M$4 &gt;= $J79, 1, NETWORKDAYS($I79,'진척율보고서'!$M$4)/$K79)))</f>
        <v>0</v>
      </c>
      <c r="M79" s="213" t="s">
        <v>163</v>
      </c>
      <c r="N79" s="214">
        <f t="shared" si="21"/>
        <v>0</v>
      </c>
      <c r="O79" s="210"/>
      <c r="P79" s="232"/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</row>
    <row r="80" ht="14.25" customHeight="1">
      <c r="A80" s="142"/>
      <c r="B80" s="184"/>
      <c r="C80" s="196"/>
      <c r="D80" s="196"/>
      <c r="E80" s="196" t="s">
        <v>248</v>
      </c>
      <c r="F80" s="206" t="s">
        <v>231</v>
      </c>
      <c r="G80" s="217" t="s">
        <v>232</v>
      </c>
      <c r="H80" s="208"/>
      <c r="I80" s="209">
        <v>46174.0</v>
      </c>
      <c r="J80" s="209">
        <v>46174.0</v>
      </c>
      <c r="K80" s="211">
        <f t="shared" si="20"/>
        <v>1</v>
      </c>
      <c r="L80" s="212">
        <f>IF(OR(ISBLANK($I80), ISBLANK($J80)), "", IF('진척율보고서'!$M$4 &lt; $I80, 0, IF('진척율보고서'!$M$4 &gt;= $J80, 1, NETWORKDAYS($I80,'진척율보고서'!$M$4)/$K80)))</f>
        <v>0</v>
      </c>
      <c r="M80" s="213" t="s">
        <v>163</v>
      </c>
      <c r="N80" s="214">
        <f t="shared" si="21"/>
        <v>0</v>
      </c>
      <c r="O80" s="210"/>
      <c r="P80" s="232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</row>
    <row r="81" ht="14.25" customHeight="1">
      <c r="A81" s="142"/>
      <c r="B81" s="184"/>
      <c r="C81" s="196"/>
      <c r="D81" s="196"/>
      <c r="E81" s="196" t="s">
        <v>249</v>
      </c>
      <c r="F81" s="206" t="s">
        <v>231</v>
      </c>
      <c r="G81" s="217" t="s">
        <v>232</v>
      </c>
      <c r="H81" s="208"/>
      <c r="I81" s="209">
        <v>46181.0</v>
      </c>
      <c r="J81" s="209">
        <v>46181.0</v>
      </c>
      <c r="K81" s="211">
        <f t="shared" si="20"/>
        <v>1</v>
      </c>
      <c r="L81" s="212">
        <f>IF(OR(ISBLANK($I81), ISBLANK($J81)), "", IF('진척율보고서'!$M$4 &lt; $I81, 0, IF('진척율보고서'!$M$4 &gt;= $J81, 1, NETWORKDAYS($I81,'진척율보고서'!$M$4)/$K81)))</f>
        <v>0</v>
      </c>
      <c r="M81" s="213" t="s">
        <v>163</v>
      </c>
      <c r="N81" s="214">
        <f t="shared" si="21"/>
        <v>0</v>
      </c>
      <c r="O81" s="210"/>
      <c r="P81" s="232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</row>
    <row r="82" ht="14.25" customHeight="1">
      <c r="A82" s="142"/>
      <c r="B82" s="184"/>
      <c r="C82" s="196"/>
      <c r="D82" s="196"/>
      <c r="E82" s="196" t="s">
        <v>250</v>
      </c>
      <c r="F82" s="206" t="s">
        <v>231</v>
      </c>
      <c r="G82" s="217" t="s">
        <v>232</v>
      </c>
      <c r="H82" s="208"/>
      <c r="I82" s="209">
        <v>46188.0</v>
      </c>
      <c r="J82" s="209">
        <v>46188.0</v>
      </c>
      <c r="K82" s="211">
        <f t="shared" si="20"/>
        <v>1</v>
      </c>
      <c r="L82" s="212">
        <f>IF(OR(ISBLANK($I82), ISBLANK($J82)), "", IF('진척율보고서'!$M$4 &lt; $I82, 0, IF('진척율보고서'!$M$4 &gt;= $J82, 1, NETWORKDAYS($I82,'진척율보고서'!$M$4)/$K82)))</f>
        <v>0</v>
      </c>
      <c r="M82" s="213" t="s">
        <v>163</v>
      </c>
      <c r="N82" s="214">
        <f t="shared" si="21"/>
        <v>0</v>
      </c>
      <c r="O82" s="210"/>
      <c r="P82" s="232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</row>
    <row r="83" ht="14.25" customHeight="1">
      <c r="A83" s="142"/>
      <c r="B83" s="184"/>
      <c r="C83" s="196"/>
      <c r="D83" s="196"/>
      <c r="E83" s="196" t="s">
        <v>251</v>
      </c>
      <c r="F83" s="206" t="s">
        <v>231</v>
      </c>
      <c r="G83" s="217" t="s">
        <v>232</v>
      </c>
      <c r="H83" s="208"/>
      <c r="I83" s="209">
        <v>46195.0</v>
      </c>
      <c r="J83" s="209">
        <v>46195.0</v>
      </c>
      <c r="K83" s="211">
        <f t="shared" si="20"/>
        <v>1</v>
      </c>
      <c r="L83" s="212">
        <f>IF(OR(ISBLANK($I83), ISBLANK($J83)), "", IF('진척율보고서'!$M$4 &lt; $I83, 0, IF('진척율보고서'!$M$4 &gt;= $J83, 1, NETWORKDAYS($I83,'진척율보고서'!$M$4)/$K83)))</f>
        <v>0</v>
      </c>
      <c r="M83" s="213" t="s">
        <v>163</v>
      </c>
      <c r="N83" s="214">
        <f t="shared" si="21"/>
        <v>0</v>
      </c>
      <c r="O83" s="210"/>
      <c r="P83" s="23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</row>
    <row r="84" ht="14.25" customHeight="1">
      <c r="A84" s="142"/>
      <c r="B84" s="184"/>
      <c r="C84" s="196"/>
      <c r="D84" s="196"/>
      <c r="E84" s="196" t="s">
        <v>252</v>
      </c>
      <c r="F84" s="206" t="s">
        <v>231</v>
      </c>
      <c r="G84" s="217" t="s">
        <v>232</v>
      </c>
      <c r="H84" s="208"/>
      <c r="I84" s="209">
        <v>46202.0</v>
      </c>
      <c r="J84" s="209">
        <v>46202.0</v>
      </c>
      <c r="K84" s="211">
        <f t="shared" si="20"/>
        <v>1</v>
      </c>
      <c r="L84" s="212">
        <f>IF(OR(ISBLANK($I84), ISBLANK($J84)), "", IF('진척율보고서'!$M$4 &lt; $I84, 0, IF('진척율보고서'!$M$4 &gt;= $J84, 1, NETWORKDAYS($I84,'진척율보고서'!$M$4)/$K84)))</f>
        <v>0</v>
      </c>
      <c r="M84" s="213" t="s">
        <v>163</v>
      </c>
      <c r="N84" s="214">
        <f t="shared" si="21"/>
        <v>0</v>
      </c>
      <c r="O84" s="210"/>
      <c r="P84" s="23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</row>
    <row r="85" ht="14.25" customHeight="1">
      <c r="A85" s="142"/>
      <c r="B85" s="184"/>
      <c r="C85" s="196"/>
      <c r="D85" s="196"/>
      <c r="E85" s="196" t="s">
        <v>253</v>
      </c>
      <c r="F85" s="206" t="s">
        <v>231</v>
      </c>
      <c r="G85" s="217" t="s">
        <v>232</v>
      </c>
      <c r="H85" s="208"/>
      <c r="I85" s="209">
        <v>46209.0</v>
      </c>
      <c r="J85" s="209">
        <v>46209.0</v>
      </c>
      <c r="K85" s="211">
        <f t="shared" si="20"/>
        <v>1</v>
      </c>
      <c r="L85" s="212">
        <f>IF(OR(ISBLANK($I85), ISBLANK($J85)), "", IF('진척율보고서'!$M$4 &lt; $I85, 0, IF('진척율보고서'!$M$4 &gt;= $J85, 1, NETWORKDAYS($I85,'진척율보고서'!$M$4)/$K85)))</f>
        <v>0</v>
      </c>
      <c r="M85" s="213" t="s">
        <v>163</v>
      </c>
      <c r="N85" s="214">
        <f t="shared" si="21"/>
        <v>0</v>
      </c>
      <c r="O85" s="210"/>
      <c r="P85" s="23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</row>
    <row r="86" ht="14.25" customHeight="1">
      <c r="A86" s="142"/>
      <c r="B86" s="184"/>
      <c r="C86" s="196"/>
      <c r="D86" s="196"/>
      <c r="E86" s="196" t="s">
        <v>254</v>
      </c>
      <c r="F86" s="206" t="s">
        <v>231</v>
      </c>
      <c r="G86" s="217" t="s">
        <v>232</v>
      </c>
      <c r="H86" s="208"/>
      <c r="I86" s="209">
        <v>46216.0</v>
      </c>
      <c r="J86" s="209">
        <v>46216.0</v>
      </c>
      <c r="K86" s="211">
        <f t="shared" si="20"/>
        <v>1</v>
      </c>
      <c r="L86" s="212">
        <f>IF(OR(ISBLANK($I86), ISBLANK($J86)), "", IF('진척율보고서'!$M$4 &lt; $I86, 0, IF('진척율보고서'!$M$4 &gt;= $J86, 1, NETWORKDAYS($I86,'진척율보고서'!$M$4)/$K86)))</f>
        <v>0</v>
      </c>
      <c r="M86" s="213" t="s">
        <v>163</v>
      </c>
      <c r="N86" s="214">
        <f t="shared" si="21"/>
        <v>0</v>
      </c>
      <c r="O86" s="210"/>
      <c r="P86" s="23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</row>
    <row r="87" ht="14.25" customHeight="1">
      <c r="A87" s="142"/>
      <c r="B87" s="184"/>
      <c r="C87" s="196"/>
      <c r="D87" s="196"/>
      <c r="E87" s="196" t="s">
        <v>255</v>
      </c>
      <c r="F87" s="206" t="s">
        <v>231</v>
      </c>
      <c r="G87" s="217" t="s">
        <v>232</v>
      </c>
      <c r="H87" s="208"/>
      <c r="I87" s="209">
        <v>46223.0</v>
      </c>
      <c r="J87" s="209">
        <v>46223.0</v>
      </c>
      <c r="K87" s="211">
        <f t="shared" si="20"/>
        <v>1</v>
      </c>
      <c r="L87" s="212">
        <f>IF(OR(ISBLANK($I87), ISBLANK($J87)), "", IF('진척율보고서'!$M$4 &lt; $I87, 0, IF('진척율보고서'!$M$4 &gt;= $J87, 1, NETWORKDAYS($I87,'진척율보고서'!$M$4)/$K87)))</f>
        <v>0</v>
      </c>
      <c r="M87" s="213" t="s">
        <v>163</v>
      </c>
      <c r="N87" s="214">
        <f t="shared" si="21"/>
        <v>0</v>
      </c>
      <c r="O87" s="227"/>
      <c r="P87" s="229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</row>
    <row r="88" ht="14.25" customHeight="1">
      <c r="A88" s="142"/>
      <c r="B88" s="184"/>
      <c r="C88" s="196"/>
      <c r="D88" s="196"/>
      <c r="E88" s="196" t="s">
        <v>256</v>
      </c>
      <c r="F88" s="206" t="s">
        <v>231</v>
      </c>
      <c r="G88" s="217" t="s">
        <v>232</v>
      </c>
      <c r="H88" s="208"/>
      <c r="I88" s="209">
        <v>46230.0</v>
      </c>
      <c r="J88" s="209">
        <v>46230.0</v>
      </c>
      <c r="K88" s="211">
        <f t="shared" si="20"/>
        <v>1</v>
      </c>
      <c r="L88" s="212">
        <f>IF(OR(ISBLANK($I88), ISBLANK($J88)), "", IF('진척율보고서'!$M$4 &lt; $I88, 0, IF('진척율보고서'!$M$4 &gt;= $J88, 1, NETWORKDAYS($I88,'진척율보고서'!$M$4)/$K88)))</f>
        <v>0</v>
      </c>
      <c r="M88" s="213" t="s">
        <v>163</v>
      </c>
      <c r="N88" s="214">
        <f t="shared" si="21"/>
        <v>0</v>
      </c>
      <c r="O88" s="227"/>
      <c r="P88" s="229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</row>
    <row r="89" ht="14.25" customHeight="1">
      <c r="A89" s="142"/>
      <c r="B89" s="184"/>
      <c r="C89" s="196"/>
      <c r="D89" s="196"/>
      <c r="E89" s="196" t="s">
        <v>257</v>
      </c>
      <c r="F89" s="206" t="s">
        <v>231</v>
      </c>
      <c r="G89" s="217" t="s">
        <v>232</v>
      </c>
      <c r="H89" s="208"/>
      <c r="I89" s="209">
        <v>46237.0</v>
      </c>
      <c r="J89" s="209">
        <v>46237.0</v>
      </c>
      <c r="K89" s="211">
        <f t="shared" si="20"/>
        <v>1</v>
      </c>
      <c r="L89" s="212">
        <f>IF(OR(ISBLANK($I89), ISBLANK($J89)), "", IF('진척율보고서'!$M$4 &lt; $I89, 0, IF('진척율보고서'!$M$4 &gt;= $J89, 1, NETWORKDAYS($I89,'진척율보고서'!$M$4)/$K89)))</f>
        <v>0</v>
      </c>
      <c r="M89" s="213" t="s">
        <v>163</v>
      </c>
      <c r="N89" s="214">
        <f t="shared" si="21"/>
        <v>0</v>
      </c>
      <c r="O89" s="227"/>
      <c r="P89" s="229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</row>
    <row r="90" ht="14.25" customHeight="1">
      <c r="A90" s="142"/>
      <c r="B90" s="184"/>
      <c r="C90" s="196"/>
      <c r="D90" s="196"/>
      <c r="E90" s="196" t="s">
        <v>258</v>
      </c>
      <c r="F90" s="206" t="s">
        <v>231</v>
      </c>
      <c r="G90" s="217" t="s">
        <v>232</v>
      </c>
      <c r="H90" s="208"/>
      <c r="I90" s="209">
        <v>46244.0</v>
      </c>
      <c r="J90" s="209">
        <v>46244.0</v>
      </c>
      <c r="K90" s="211">
        <f t="shared" si="20"/>
        <v>1</v>
      </c>
      <c r="L90" s="212">
        <f>IF(OR(ISBLANK($I90), ISBLANK($J90)), "", IF('진척율보고서'!$M$4 &lt; $I90, 0, IF('진척율보고서'!$M$4 &gt;= $J90, 1, NETWORKDAYS($I90,'진척율보고서'!$M$4)/$K90)))</f>
        <v>0</v>
      </c>
      <c r="M90" s="213" t="s">
        <v>163</v>
      </c>
      <c r="N90" s="214">
        <f t="shared" si="21"/>
        <v>0</v>
      </c>
      <c r="O90" s="227"/>
      <c r="P90" s="229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</row>
    <row r="91" ht="14.25" customHeight="1">
      <c r="A91" s="142"/>
      <c r="B91" s="184"/>
      <c r="C91" s="196"/>
      <c r="D91" s="196"/>
      <c r="E91" s="196" t="s">
        <v>259</v>
      </c>
      <c r="F91" s="206" t="s">
        <v>231</v>
      </c>
      <c r="G91" s="217" t="s">
        <v>232</v>
      </c>
      <c r="H91" s="208"/>
      <c r="I91" s="209">
        <v>46251.0</v>
      </c>
      <c r="J91" s="209">
        <v>46251.0</v>
      </c>
      <c r="K91" s="211">
        <f t="shared" si="20"/>
        <v>1</v>
      </c>
      <c r="L91" s="212">
        <f>IF(OR(ISBLANK($I91), ISBLANK($J91)), "", IF('진척율보고서'!$M$4 &lt; $I91, 0, IF('진척율보고서'!$M$4 &gt;= $J91, 1, NETWORKDAYS($I91,'진척율보고서'!$M$4)/$K91)))</f>
        <v>0</v>
      </c>
      <c r="M91" s="213" t="s">
        <v>163</v>
      </c>
      <c r="N91" s="214">
        <f t="shared" si="21"/>
        <v>0</v>
      </c>
      <c r="O91" s="227"/>
      <c r="P91" s="229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</row>
    <row r="92" ht="14.25" customHeight="1">
      <c r="A92" s="142"/>
      <c r="B92" s="184"/>
      <c r="C92" s="196"/>
      <c r="D92" s="196"/>
      <c r="E92" s="196" t="s">
        <v>260</v>
      </c>
      <c r="F92" s="206" t="s">
        <v>231</v>
      </c>
      <c r="G92" s="217" t="s">
        <v>232</v>
      </c>
      <c r="H92" s="208"/>
      <c r="I92" s="209">
        <v>46258.0</v>
      </c>
      <c r="J92" s="209">
        <v>46258.0</v>
      </c>
      <c r="K92" s="211">
        <f t="shared" si="20"/>
        <v>1</v>
      </c>
      <c r="L92" s="212">
        <f>IF(OR(ISBLANK($I92), ISBLANK($J92)), "", IF('진척율보고서'!$M$4 &lt; $I92, 0, IF('진척율보고서'!$M$4 &gt;= $J92, 1, NETWORKDAYS($I92,'진척율보고서'!$M$4)/$K92)))</f>
        <v>0</v>
      </c>
      <c r="M92" s="213" t="s">
        <v>163</v>
      </c>
      <c r="N92" s="214">
        <f t="shared" si="21"/>
        <v>0</v>
      </c>
      <c r="O92" s="227"/>
      <c r="P92" s="229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</row>
    <row r="93" ht="14.25" customHeight="1">
      <c r="A93" s="142"/>
      <c r="B93" s="184"/>
      <c r="C93" s="196"/>
      <c r="D93" s="196"/>
      <c r="E93" s="196" t="s">
        <v>261</v>
      </c>
      <c r="F93" s="206" t="s">
        <v>231</v>
      </c>
      <c r="G93" s="217" t="s">
        <v>232</v>
      </c>
      <c r="H93" s="208"/>
      <c r="I93" s="209">
        <v>46265.0</v>
      </c>
      <c r="J93" s="209">
        <v>46265.0</v>
      </c>
      <c r="K93" s="211">
        <f t="shared" si="20"/>
        <v>1</v>
      </c>
      <c r="L93" s="212">
        <f>IF(OR(ISBLANK($I93), ISBLANK($J93)), "", IF('진척율보고서'!$M$4 &lt; $I93, 0, IF('진척율보고서'!$M$4 &gt;= $J93, 1, NETWORKDAYS($I93,'진척율보고서'!$M$4)/$K93)))</f>
        <v>0</v>
      </c>
      <c r="M93" s="213" t="s">
        <v>163</v>
      </c>
      <c r="N93" s="214">
        <f t="shared" si="21"/>
        <v>0</v>
      </c>
      <c r="O93" s="227"/>
      <c r="P93" s="229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</row>
    <row r="94" ht="14.25" customHeight="1">
      <c r="A94" s="142"/>
      <c r="B94" s="184"/>
      <c r="C94" s="196"/>
      <c r="D94" s="196"/>
      <c r="E94" s="196" t="s">
        <v>262</v>
      </c>
      <c r="F94" s="206" t="s">
        <v>231</v>
      </c>
      <c r="G94" s="217" t="s">
        <v>232</v>
      </c>
      <c r="H94" s="208"/>
      <c r="I94" s="209">
        <v>46272.0</v>
      </c>
      <c r="J94" s="209">
        <v>46272.0</v>
      </c>
      <c r="K94" s="211">
        <f t="shared" si="20"/>
        <v>1</v>
      </c>
      <c r="L94" s="212">
        <f>IF(OR(ISBLANK($I94), ISBLANK($J94)), "", IF('진척율보고서'!$M$4 &lt; $I94, 0, IF('진척율보고서'!$M$4 &gt;= $J94, 1, NETWORKDAYS($I94,'진척율보고서'!$M$4)/$K94)))</f>
        <v>0</v>
      </c>
      <c r="M94" s="213" t="s">
        <v>163</v>
      </c>
      <c r="N94" s="214">
        <f t="shared" si="21"/>
        <v>0</v>
      </c>
      <c r="O94" s="227"/>
      <c r="P94" s="229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</row>
    <row r="95" ht="14.25" customHeight="1">
      <c r="A95" s="142"/>
      <c r="B95" s="184"/>
      <c r="C95" s="196"/>
      <c r="D95" s="196"/>
      <c r="E95" s="196" t="s">
        <v>263</v>
      </c>
      <c r="F95" s="206" t="s">
        <v>231</v>
      </c>
      <c r="G95" s="217" t="s">
        <v>232</v>
      </c>
      <c r="H95" s="208"/>
      <c r="I95" s="209">
        <v>46279.0</v>
      </c>
      <c r="J95" s="209">
        <v>46279.0</v>
      </c>
      <c r="K95" s="211">
        <f t="shared" si="20"/>
        <v>1</v>
      </c>
      <c r="L95" s="212">
        <f>IF(OR(ISBLANK($I95), ISBLANK($J95)), "", IF('진척율보고서'!$M$4 &lt; $I95, 0, IF('진척율보고서'!$M$4 &gt;= $J95, 1, NETWORKDAYS($I95,'진척율보고서'!$M$4)/$K95)))</f>
        <v>0</v>
      </c>
      <c r="M95" s="213" t="s">
        <v>163</v>
      </c>
      <c r="N95" s="214">
        <f t="shared" si="21"/>
        <v>0</v>
      </c>
      <c r="O95" s="227"/>
      <c r="P95" s="229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</row>
    <row r="96" ht="14.25" customHeight="1">
      <c r="A96" s="142"/>
      <c r="B96" s="184"/>
      <c r="C96" s="196"/>
      <c r="D96" s="196"/>
      <c r="E96" s="196" t="s">
        <v>264</v>
      </c>
      <c r="F96" s="206" t="s">
        <v>231</v>
      </c>
      <c r="G96" s="217" t="s">
        <v>232</v>
      </c>
      <c r="H96" s="208"/>
      <c r="I96" s="209">
        <v>46286.0</v>
      </c>
      <c r="J96" s="209">
        <v>46286.0</v>
      </c>
      <c r="K96" s="211">
        <f t="shared" si="20"/>
        <v>1</v>
      </c>
      <c r="L96" s="212">
        <f>IF(OR(ISBLANK($I96), ISBLANK($J96)), "", IF('진척율보고서'!$M$4 &lt; $I96, 0, IF('진척율보고서'!$M$4 &gt;= $J96, 1, NETWORKDAYS($I96,'진척율보고서'!$M$4)/$K96)))</f>
        <v>0</v>
      </c>
      <c r="M96" s="213" t="s">
        <v>163</v>
      </c>
      <c r="N96" s="214">
        <f t="shared" si="21"/>
        <v>0</v>
      </c>
      <c r="O96" s="227"/>
      <c r="P96" s="229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</row>
    <row r="97" ht="14.25" customHeight="1">
      <c r="A97" s="142"/>
      <c r="B97" s="184"/>
      <c r="C97" s="196"/>
      <c r="D97" s="196"/>
      <c r="E97" s="196" t="s">
        <v>265</v>
      </c>
      <c r="F97" s="206" t="s">
        <v>231</v>
      </c>
      <c r="G97" s="217" t="s">
        <v>232</v>
      </c>
      <c r="H97" s="208"/>
      <c r="I97" s="209">
        <v>46293.0</v>
      </c>
      <c r="J97" s="209">
        <v>46293.0</v>
      </c>
      <c r="K97" s="211">
        <f t="shared" si="20"/>
        <v>1</v>
      </c>
      <c r="L97" s="212">
        <f>IF(OR(ISBLANK($I97), ISBLANK($J97)), "", IF('진척율보고서'!$M$4 &lt; $I97, 0, IF('진척율보고서'!$M$4 &gt;= $J97, 1, NETWORKDAYS($I97,'진척율보고서'!$M$4)/$K97)))</f>
        <v>0</v>
      </c>
      <c r="M97" s="213" t="s">
        <v>163</v>
      </c>
      <c r="N97" s="214">
        <f t="shared" si="21"/>
        <v>0</v>
      </c>
      <c r="O97" s="227"/>
      <c r="P97" s="229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</row>
    <row r="98" ht="14.25" customHeight="1">
      <c r="A98" s="142"/>
      <c r="B98" s="184"/>
      <c r="C98" s="196"/>
      <c r="D98" s="196"/>
      <c r="E98" s="196" t="s">
        <v>266</v>
      </c>
      <c r="F98" s="206" t="s">
        <v>231</v>
      </c>
      <c r="G98" s="217" t="s">
        <v>232</v>
      </c>
      <c r="H98" s="208"/>
      <c r="I98" s="209">
        <v>46300.0</v>
      </c>
      <c r="J98" s="209">
        <v>46300.0</v>
      </c>
      <c r="K98" s="211">
        <f t="shared" si="20"/>
        <v>1</v>
      </c>
      <c r="L98" s="212">
        <f>IF(OR(ISBLANK($I98), ISBLANK($J98)), "", IF('진척율보고서'!$M$4 &lt; $I98, 0, IF('진척율보고서'!$M$4 &gt;= $J98, 1, NETWORKDAYS($I98,'진척율보고서'!$M$4)/$K98)))</f>
        <v>0</v>
      </c>
      <c r="M98" s="213" t="s">
        <v>163</v>
      </c>
      <c r="N98" s="214">
        <f t="shared" si="21"/>
        <v>0</v>
      </c>
      <c r="O98" s="227"/>
      <c r="P98" s="229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</row>
    <row r="99" ht="14.25" customHeight="1">
      <c r="A99" s="142"/>
      <c r="B99" s="184"/>
      <c r="C99" s="196"/>
      <c r="D99" s="196"/>
      <c r="E99" s="196" t="s">
        <v>267</v>
      </c>
      <c r="F99" s="206" t="s">
        <v>231</v>
      </c>
      <c r="G99" s="217" t="s">
        <v>232</v>
      </c>
      <c r="H99" s="208"/>
      <c r="I99" s="209">
        <v>46307.0</v>
      </c>
      <c r="J99" s="209">
        <v>46307.0</v>
      </c>
      <c r="K99" s="211">
        <f t="shared" si="20"/>
        <v>1</v>
      </c>
      <c r="L99" s="212">
        <f>IF(OR(ISBLANK($I99), ISBLANK($J99)), "", IF('진척율보고서'!$M$4 &lt; $I99, 0, IF('진척율보고서'!$M$4 &gt;= $J99, 1, NETWORKDAYS($I99,'진척율보고서'!$M$4)/$K99)))</f>
        <v>0</v>
      </c>
      <c r="M99" s="213" t="s">
        <v>163</v>
      </c>
      <c r="N99" s="214">
        <f t="shared" si="21"/>
        <v>0</v>
      </c>
      <c r="O99" s="227"/>
      <c r="P99" s="229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</row>
    <row r="100" ht="14.25" customHeight="1">
      <c r="A100" s="142"/>
      <c r="B100" s="184"/>
      <c r="C100" s="196"/>
      <c r="D100" s="196"/>
      <c r="E100" s="196" t="s">
        <v>268</v>
      </c>
      <c r="F100" s="206" t="s">
        <v>231</v>
      </c>
      <c r="G100" s="217" t="s">
        <v>232</v>
      </c>
      <c r="H100" s="208"/>
      <c r="I100" s="209">
        <v>46314.0</v>
      </c>
      <c r="J100" s="209">
        <v>46314.0</v>
      </c>
      <c r="K100" s="211">
        <f t="shared" si="20"/>
        <v>1</v>
      </c>
      <c r="L100" s="212">
        <f>IF(OR(ISBLANK($I100), ISBLANK($J100)), "", IF('진척율보고서'!$M$4 &lt; $I100, 0, IF('진척율보고서'!$M$4 &gt;= $J100, 1, NETWORKDAYS($I100,'진척율보고서'!$M$4)/$K100)))</f>
        <v>0</v>
      </c>
      <c r="M100" s="213" t="s">
        <v>163</v>
      </c>
      <c r="N100" s="214">
        <f t="shared" si="21"/>
        <v>0</v>
      </c>
      <c r="O100" s="227"/>
      <c r="P100" s="229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</row>
    <row r="101" ht="14.25" customHeight="1">
      <c r="A101" s="142"/>
      <c r="B101" s="184"/>
      <c r="C101" s="196"/>
      <c r="D101" s="196"/>
      <c r="E101" s="196" t="s">
        <v>269</v>
      </c>
      <c r="F101" s="206" t="s">
        <v>231</v>
      </c>
      <c r="G101" s="217" t="s">
        <v>232</v>
      </c>
      <c r="H101" s="208"/>
      <c r="I101" s="209">
        <v>46321.0</v>
      </c>
      <c r="J101" s="209">
        <v>46321.0</v>
      </c>
      <c r="K101" s="211">
        <f t="shared" si="20"/>
        <v>1</v>
      </c>
      <c r="L101" s="212">
        <f>IF(OR(ISBLANK($I101), ISBLANK($J101)), "", IF('진척율보고서'!$M$4 &lt; $I101, 0, IF('진척율보고서'!$M$4 &gt;= $J101, 1, NETWORKDAYS($I101,'진척율보고서'!$M$4)/$K101)))</f>
        <v>0</v>
      </c>
      <c r="M101" s="213" t="s">
        <v>163</v>
      </c>
      <c r="N101" s="214">
        <f t="shared" si="21"/>
        <v>0</v>
      </c>
      <c r="O101" s="227"/>
      <c r="P101" s="229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</row>
    <row r="102" ht="14.25" customHeight="1">
      <c r="A102" s="142"/>
      <c r="B102" s="184"/>
      <c r="C102" s="196"/>
      <c r="D102" s="196"/>
      <c r="E102" s="196" t="s">
        <v>270</v>
      </c>
      <c r="F102" s="206" t="s">
        <v>231</v>
      </c>
      <c r="G102" s="217" t="s">
        <v>232</v>
      </c>
      <c r="H102" s="208"/>
      <c r="I102" s="209">
        <v>46328.0</v>
      </c>
      <c r="J102" s="209">
        <v>46328.0</v>
      </c>
      <c r="K102" s="211">
        <f t="shared" si="20"/>
        <v>1</v>
      </c>
      <c r="L102" s="212">
        <f>IF(OR(ISBLANK($I102), ISBLANK($J102)), "", IF('진척율보고서'!$M$4 &lt; $I102, 0, IF('진척율보고서'!$M$4 &gt;= $J102, 1, NETWORKDAYS($I102,'진척율보고서'!$M$4)/$K102)))</f>
        <v>0</v>
      </c>
      <c r="M102" s="213" t="s">
        <v>163</v>
      </c>
      <c r="N102" s="214">
        <f t="shared" si="21"/>
        <v>0</v>
      </c>
      <c r="O102" s="227"/>
      <c r="P102" s="229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</row>
    <row r="103" ht="14.25" customHeight="1">
      <c r="A103" s="142"/>
      <c r="B103" s="184"/>
      <c r="C103" s="196"/>
      <c r="D103" s="196"/>
      <c r="E103" s="196" t="s">
        <v>271</v>
      </c>
      <c r="F103" s="206" t="s">
        <v>231</v>
      </c>
      <c r="G103" s="217" t="s">
        <v>232</v>
      </c>
      <c r="H103" s="208"/>
      <c r="I103" s="209">
        <v>46335.0</v>
      </c>
      <c r="J103" s="209">
        <v>46335.0</v>
      </c>
      <c r="K103" s="211">
        <f t="shared" si="20"/>
        <v>1</v>
      </c>
      <c r="L103" s="212">
        <f>IF(OR(ISBLANK($I103), ISBLANK($J103)), "", IF('진척율보고서'!$M$4 &lt; $I103, 0, IF('진척율보고서'!$M$4 &gt;= $J103, 1, NETWORKDAYS($I103,'진척율보고서'!$M$4)/$K103)))</f>
        <v>0</v>
      </c>
      <c r="M103" s="213" t="s">
        <v>163</v>
      </c>
      <c r="N103" s="214">
        <f t="shared" si="21"/>
        <v>0</v>
      </c>
      <c r="O103" s="227"/>
      <c r="P103" s="229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</row>
    <row r="104" ht="14.25" customHeight="1">
      <c r="A104" s="142"/>
      <c r="B104" s="184"/>
      <c r="C104" s="196"/>
      <c r="D104" s="196"/>
      <c r="E104" s="196" t="s">
        <v>272</v>
      </c>
      <c r="F104" s="206" t="s">
        <v>231</v>
      </c>
      <c r="G104" s="217" t="s">
        <v>232</v>
      </c>
      <c r="H104" s="208"/>
      <c r="I104" s="209">
        <v>46342.0</v>
      </c>
      <c r="J104" s="209">
        <v>46342.0</v>
      </c>
      <c r="K104" s="211">
        <f t="shared" si="20"/>
        <v>1</v>
      </c>
      <c r="L104" s="212">
        <f>IF(OR(ISBLANK($I104), ISBLANK($J104)), "", IF('진척율보고서'!$M$4 &lt; $I104, 0, IF('진척율보고서'!$M$4 &gt;= $J104, 1, NETWORKDAYS($I104,'진척율보고서'!$M$4)/$K104)))</f>
        <v>0</v>
      </c>
      <c r="M104" s="213" t="s">
        <v>163</v>
      </c>
      <c r="N104" s="214">
        <f t="shared" si="21"/>
        <v>0</v>
      </c>
      <c r="O104" s="227"/>
      <c r="P104" s="229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</row>
    <row r="105" ht="14.25" customHeight="1">
      <c r="A105" s="142"/>
      <c r="B105" s="184"/>
      <c r="C105" s="196"/>
      <c r="D105" s="196"/>
      <c r="E105" s="196" t="s">
        <v>273</v>
      </c>
      <c r="F105" s="206" t="s">
        <v>231</v>
      </c>
      <c r="G105" s="217" t="s">
        <v>232</v>
      </c>
      <c r="H105" s="208"/>
      <c r="I105" s="209">
        <v>46349.0</v>
      </c>
      <c r="J105" s="209">
        <v>46349.0</v>
      </c>
      <c r="K105" s="211">
        <f t="shared" si="20"/>
        <v>1</v>
      </c>
      <c r="L105" s="212">
        <f>IF(OR(ISBLANK($I105), ISBLANK($J105)), "", IF('진척율보고서'!$M$4 &lt; $I105, 0, IF('진척율보고서'!$M$4 &gt;= $J105, 1, NETWORKDAYS($I105,'진척율보고서'!$M$4)/$K105)))</f>
        <v>0</v>
      </c>
      <c r="M105" s="213" t="s">
        <v>163</v>
      </c>
      <c r="N105" s="214">
        <f t="shared" si="21"/>
        <v>0</v>
      </c>
      <c r="O105" s="227"/>
      <c r="P105" s="229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</row>
    <row r="106" ht="14.25" customHeight="1">
      <c r="A106" s="142"/>
      <c r="B106" s="184"/>
      <c r="C106" s="196"/>
      <c r="D106" s="196"/>
      <c r="E106" s="196" t="s">
        <v>274</v>
      </c>
      <c r="F106" s="206" t="s">
        <v>231</v>
      </c>
      <c r="G106" s="217" t="s">
        <v>232</v>
      </c>
      <c r="H106" s="208"/>
      <c r="I106" s="209">
        <v>46356.0</v>
      </c>
      <c r="J106" s="209">
        <v>46356.0</v>
      </c>
      <c r="K106" s="211">
        <f t="shared" si="20"/>
        <v>1</v>
      </c>
      <c r="L106" s="212">
        <f>IF(OR(ISBLANK($I106), ISBLANK($J106)), "", IF('진척율보고서'!$M$4 &lt; $I106, 0, IF('진척율보고서'!$M$4 &gt;= $J106, 1, NETWORKDAYS($I106,'진척율보고서'!$M$4)/$K106)))</f>
        <v>0</v>
      </c>
      <c r="M106" s="213" t="s">
        <v>163</v>
      </c>
      <c r="N106" s="214">
        <f t="shared" si="21"/>
        <v>0</v>
      </c>
      <c r="O106" s="227"/>
      <c r="P106" s="229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</row>
    <row r="107" ht="14.25" customHeight="1">
      <c r="A107" s="142"/>
      <c r="B107" s="184"/>
      <c r="C107" s="196"/>
      <c r="D107" s="196"/>
      <c r="E107" s="196" t="s">
        <v>275</v>
      </c>
      <c r="F107" s="206" t="s">
        <v>231</v>
      </c>
      <c r="G107" s="217" t="s">
        <v>232</v>
      </c>
      <c r="H107" s="208"/>
      <c r="I107" s="209">
        <v>46363.0</v>
      </c>
      <c r="J107" s="209">
        <v>46363.0</v>
      </c>
      <c r="K107" s="211">
        <f t="shared" si="20"/>
        <v>1</v>
      </c>
      <c r="L107" s="212">
        <f>IF(OR(ISBLANK($I107), ISBLANK($J107)), "", IF('진척율보고서'!$M$4 &lt; $I107, 0, IF('진척율보고서'!$M$4 &gt;= $J107, 1, NETWORKDAYS($I107,'진척율보고서'!$M$4)/$K107)))</f>
        <v>0</v>
      </c>
      <c r="M107" s="213" t="s">
        <v>163</v>
      </c>
      <c r="N107" s="214">
        <f t="shared" si="21"/>
        <v>0</v>
      </c>
      <c r="O107" s="227"/>
      <c r="P107" s="229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</row>
    <row r="108" ht="14.25" customHeight="1">
      <c r="A108" s="142"/>
      <c r="B108" s="184"/>
      <c r="C108" s="196"/>
      <c r="D108" s="196"/>
      <c r="E108" s="196" t="s">
        <v>276</v>
      </c>
      <c r="F108" s="206" t="s">
        <v>231</v>
      </c>
      <c r="G108" s="217" t="s">
        <v>232</v>
      </c>
      <c r="H108" s="208"/>
      <c r="I108" s="209">
        <v>46370.0</v>
      </c>
      <c r="J108" s="209">
        <v>46370.0</v>
      </c>
      <c r="K108" s="211">
        <f t="shared" si="20"/>
        <v>1</v>
      </c>
      <c r="L108" s="212">
        <f>IF(OR(ISBLANK($I108), ISBLANK($J108)), "", IF('진척율보고서'!$M$4 &lt; $I108, 0, IF('진척율보고서'!$M$4 &gt;= $J108, 1, NETWORKDAYS($I108,'진척율보고서'!$M$4)/$K108)))</f>
        <v>0</v>
      </c>
      <c r="M108" s="213" t="s">
        <v>163</v>
      </c>
      <c r="N108" s="214">
        <f t="shared" si="21"/>
        <v>0</v>
      </c>
      <c r="O108" s="227"/>
      <c r="P108" s="229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</row>
    <row r="109" ht="14.25" customHeight="1">
      <c r="A109" s="142"/>
      <c r="B109" s="184"/>
      <c r="C109" s="196"/>
      <c r="D109" s="196"/>
      <c r="E109" s="196" t="s">
        <v>277</v>
      </c>
      <c r="F109" s="206" t="s">
        <v>231</v>
      </c>
      <c r="G109" s="217" t="s">
        <v>232</v>
      </c>
      <c r="H109" s="208"/>
      <c r="I109" s="209">
        <v>46377.0</v>
      </c>
      <c r="J109" s="209">
        <v>46377.0</v>
      </c>
      <c r="K109" s="211">
        <f t="shared" si="20"/>
        <v>1</v>
      </c>
      <c r="L109" s="212">
        <f>IF(OR(ISBLANK($I109), ISBLANK($J109)), "", IF('진척율보고서'!$M$4 &lt; $I109, 0, IF('진척율보고서'!$M$4 &gt;= $J109, 1, NETWORKDAYS($I109,'진척율보고서'!$M$4)/$K109)))</f>
        <v>0</v>
      </c>
      <c r="M109" s="213" t="s">
        <v>163</v>
      </c>
      <c r="N109" s="214">
        <f t="shared" si="21"/>
        <v>0</v>
      </c>
      <c r="O109" s="227"/>
      <c r="P109" s="229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</row>
    <row r="110" ht="14.25" customHeight="1">
      <c r="A110" s="142"/>
      <c r="B110" s="184"/>
      <c r="C110" s="196"/>
      <c r="D110" s="196"/>
      <c r="E110" s="196" t="s">
        <v>278</v>
      </c>
      <c r="F110" s="206" t="s">
        <v>231</v>
      </c>
      <c r="G110" s="217" t="s">
        <v>232</v>
      </c>
      <c r="H110" s="208"/>
      <c r="I110" s="209">
        <v>46384.0</v>
      </c>
      <c r="J110" s="209">
        <v>46384.0</v>
      </c>
      <c r="K110" s="211">
        <f t="shared" si="20"/>
        <v>1</v>
      </c>
      <c r="L110" s="212">
        <f>IF(OR(ISBLANK($I110), ISBLANK($J110)), "", IF('진척율보고서'!$M$4 &lt; $I110, 0, IF('진척율보고서'!$M$4 &gt;= $J110, 1, NETWORKDAYS($I110,'진척율보고서'!$M$4)/$K110)))</f>
        <v>0</v>
      </c>
      <c r="M110" s="213" t="s">
        <v>163</v>
      </c>
      <c r="N110" s="214">
        <f t="shared" si="21"/>
        <v>0</v>
      </c>
      <c r="O110" s="227"/>
      <c r="P110" s="229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</row>
    <row r="111" ht="13.5" customHeight="1">
      <c r="A111" s="142"/>
      <c r="B111" s="184"/>
      <c r="C111" s="196"/>
      <c r="D111" s="197" t="s">
        <v>279</v>
      </c>
      <c r="E111" s="197"/>
      <c r="F111" s="220"/>
      <c r="G111" s="198"/>
      <c r="H111" s="198"/>
      <c r="I111" s="199"/>
      <c r="J111" s="200"/>
      <c r="K111" s="201"/>
      <c r="L111" s="202"/>
      <c r="M111" s="203"/>
      <c r="N111" s="204"/>
      <c r="O111" s="200"/>
      <c r="P111" s="205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</row>
    <row r="112" ht="13.5" customHeight="1">
      <c r="A112" s="230"/>
      <c r="B112" s="231"/>
      <c r="C112" s="196"/>
      <c r="D112" s="196"/>
      <c r="E112" s="196" t="s">
        <v>280</v>
      </c>
      <c r="F112" s="206" t="s">
        <v>281</v>
      </c>
      <c r="G112" s="217" t="s">
        <v>232</v>
      </c>
      <c r="H112" s="208"/>
      <c r="I112" s="209">
        <v>46076.0</v>
      </c>
      <c r="J112" s="209">
        <v>46076.0</v>
      </c>
      <c r="K112" s="211">
        <f t="shared" ref="K112:K122" si="22">IF(OR(ISBLANK($I112), ISBLANK($J112)),"",NETWORKDAYS($I112,$J112))</f>
        <v>1</v>
      </c>
      <c r="L112" s="212">
        <f>IF(OR(ISBLANK($I112), ISBLANK($J112)), "", IF('진척율보고서'!$M$4 &lt; $I112, 0, IF('진척율보고서'!$M$4 &gt;= $J112, 1, NETWORKDAYS($I112,'진척율보고서'!$M$4)/$K112)))</f>
        <v>1</v>
      </c>
      <c r="M112" s="213" t="s">
        <v>158</v>
      </c>
      <c r="N112" s="214">
        <f t="shared" ref="N112:N122" si="23">IF($M112="완료",1,IF($M112="PM확인",0.95,IF($M112="PL확인",0.8,IF($M112="테스트",0.7,IF($M112="수행2단계",0.55,IF($M112="수행1단계",0.35,IF($M112="착수",0.2,IF($M112="미착수",0,""))))))))</f>
        <v>1</v>
      </c>
      <c r="O112" s="210">
        <v>46076.0</v>
      </c>
      <c r="P112" s="232">
        <v>46076.0</v>
      </c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</row>
    <row r="113" ht="14.25" customHeight="1">
      <c r="A113" s="142"/>
      <c r="B113" s="184"/>
      <c r="C113" s="196"/>
      <c r="D113" s="196"/>
      <c r="E113" s="196" t="s">
        <v>282</v>
      </c>
      <c r="F113" s="206" t="s">
        <v>281</v>
      </c>
      <c r="G113" s="217" t="s">
        <v>232</v>
      </c>
      <c r="H113" s="208"/>
      <c r="I113" s="209">
        <v>46111.0</v>
      </c>
      <c r="J113" s="209">
        <v>46111.0</v>
      </c>
      <c r="K113" s="211">
        <f t="shared" si="22"/>
        <v>1</v>
      </c>
      <c r="L113" s="212">
        <f>IF(OR(ISBLANK($I113), ISBLANK($J113)), "", IF('진척율보고서'!$M$4 &lt; $I113, 0, IF('진척율보고서'!$M$4 &gt;= $J113, 1, NETWORKDAYS($I113,'진척율보고서'!$M$4)/$K113)))</f>
        <v>0</v>
      </c>
      <c r="M113" s="213" t="s">
        <v>163</v>
      </c>
      <c r="N113" s="214">
        <f t="shared" si="23"/>
        <v>0</v>
      </c>
      <c r="O113" s="210"/>
      <c r="P113" s="23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</row>
    <row r="114" ht="14.25" customHeight="1">
      <c r="A114" s="142"/>
      <c r="B114" s="184"/>
      <c r="C114" s="196"/>
      <c r="D114" s="196"/>
      <c r="E114" s="196" t="s">
        <v>283</v>
      </c>
      <c r="F114" s="206" t="s">
        <v>281</v>
      </c>
      <c r="G114" s="217" t="s">
        <v>232</v>
      </c>
      <c r="H114" s="208"/>
      <c r="I114" s="209">
        <v>46139.0</v>
      </c>
      <c r="J114" s="209">
        <v>46139.0</v>
      </c>
      <c r="K114" s="211">
        <f t="shared" si="22"/>
        <v>1</v>
      </c>
      <c r="L114" s="212">
        <f>IF(OR(ISBLANK($I114), ISBLANK($J114)), "", IF('진척율보고서'!$M$4 &lt; $I114, 0, IF('진척율보고서'!$M$4 &gt;= $J114, 1, NETWORKDAYS($I114,'진척율보고서'!$M$4)/$K114)))</f>
        <v>0</v>
      </c>
      <c r="M114" s="213" t="s">
        <v>163</v>
      </c>
      <c r="N114" s="214">
        <f t="shared" si="23"/>
        <v>0</v>
      </c>
      <c r="O114" s="210"/>
      <c r="P114" s="23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ht="14.25" customHeight="1">
      <c r="A115" s="142"/>
      <c r="B115" s="184"/>
      <c r="C115" s="196"/>
      <c r="D115" s="196"/>
      <c r="E115" s="196" t="s">
        <v>284</v>
      </c>
      <c r="F115" s="206" t="s">
        <v>281</v>
      </c>
      <c r="G115" s="217" t="s">
        <v>232</v>
      </c>
      <c r="H115" s="208"/>
      <c r="I115" s="209">
        <v>46167.0</v>
      </c>
      <c r="J115" s="209">
        <v>46167.0</v>
      </c>
      <c r="K115" s="211">
        <f t="shared" si="22"/>
        <v>1</v>
      </c>
      <c r="L115" s="212">
        <f>IF(OR(ISBLANK($I115), ISBLANK($J115)), "", IF('진척율보고서'!$M$4 &lt; $I115, 0, IF('진척율보고서'!$M$4 &gt;= $J115, 1, NETWORKDAYS($I115,'진척율보고서'!$M$4)/$K115)))</f>
        <v>0</v>
      </c>
      <c r="M115" s="213" t="s">
        <v>163</v>
      </c>
      <c r="N115" s="214">
        <f t="shared" si="23"/>
        <v>0</v>
      </c>
      <c r="O115" s="210"/>
      <c r="P115" s="23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</row>
    <row r="116" ht="14.25" customHeight="1">
      <c r="A116" s="142"/>
      <c r="B116" s="184"/>
      <c r="C116" s="196"/>
      <c r="D116" s="196"/>
      <c r="E116" s="196" t="s">
        <v>285</v>
      </c>
      <c r="F116" s="206" t="s">
        <v>281</v>
      </c>
      <c r="G116" s="217" t="s">
        <v>232</v>
      </c>
      <c r="H116" s="208"/>
      <c r="I116" s="209">
        <v>46202.0</v>
      </c>
      <c r="J116" s="209">
        <v>46202.0</v>
      </c>
      <c r="K116" s="211">
        <f t="shared" si="22"/>
        <v>1</v>
      </c>
      <c r="L116" s="212">
        <f>IF(OR(ISBLANK($I116), ISBLANK($J116)), "", IF('진척율보고서'!$M$4 &lt; $I116, 0, IF('진척율보고서'!$M$4 &gt;= $J116, 1, NETWORKDAYS($I116,'진척율보고서'!$M$4)/$K116)))</f>
        <v>0</v>
      </c>
      <c r="M116" s="213" t="s">
        <v>163</v>
      </c>
      <c r="N116" s="214">
        <f t="shared" si="23"/>
        <v>0</v>
      </c>
      <c r="O116" s="210"/>
      <c r="P116" s="23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</row>
    <row r="117" ht="14.25" customHeight="1">
      <c r="A117" s="142"/>
      <c r="B117" s="184"/>
      <c r="C117" s="196"/>
      <c r="D117" s="196"/>
      <c r="E117" s="196" t="s">
        <v>286</v>
      </c>
      <c r="F117" s="206" t="s">
        <v>281</v>
      </c>
      <c r="G117" s="217" t="s">
        <v>232</v>
      </c>
      <c r="H117" s="208"/>
      <c r="I117" s="209">
        <v>46230.0</v>
      </c>
      <c r="J117" s="209">
        <v>46230.0</v>
      </c>
      <c r="K117" s="211">
        <f t="shared" si="22"/>
        <v>1</v>
      </c>
      <c r="L117" s="212">
        <f>IF(OR(ISBLANK($I117), ISBLANK($J117)), "", IF('진척율보고서'!$M$4 &lt; $I117, 0, IF('진척율보고서'!$M$4 &gt;= $J117, 1, NETWORKDAYS($I117,'진척율보고서'!$M$4)/$K117)))</f>
        <v>0</v>
      </c>
      <c r="M117" s="213" t="s">
        <v>163</v>
      </c>
      <c r="N117" s="214">
        <f t="shared" si="23"/>
        <v>0</v>
      </c>
      <c r="O117" s="210"/>
      <c r="P117" s="23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</row>
    <row r="118" ht="14.25" customHeight="1">
      <c r="A118" s="142"/>
      <c r="B118" s="184"/>
      <c r="C118" s="196"/>
      <c r="D118" s="196"/>
      <c r="E118" s="196" t="s">
        <v>287</v>
      </c>
      <c r="F118" s="206" t="s">
        <v>281</v>
      </c>
      <c r="G118" s="217" t="s">
        <v>232</v>
      </c>
      <c r="H118" s="208"/>
      <c r="I118" s="209">
        <v>46258.0</v>
      </c>
      <c r="J118" s="209">
        <v>46258.0</v>
      </c>
      <c r="K118" s="211">
        <f t="shared" si="22"/>
        <v>1</v>
      </c>
      <c r="L118" s="212">
        <f>IF(OR(ISBLANK($I118), ISBLANK($J118)), "", IF('진척율보고서'!$M$4 &lt; $I118, 0, IF('진척율보고서'!$M$4 &gt;= $J118, 1, NETWORKDAYS($I118,'진척율보고서'!$M$4)/$K118)))</f>
        <v>0</v>
      </c>
      <c r="M118" s="213" t="s">
        <v>163</v>
      </c>
      <c r="N118" s="214">
        <f t="shared" si="23"/>
        <v>0</v>
      </c>
      <c r="O118" s="227"/>
      <c r="P118" s="229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</row>
    <row r="119" ht="14.25" customHeight="1">
      <c r="A119" s="142"/>
      <c r="B119" s="184"/>
      <c r="C119" s="196"/>
      <c r="D119" s="196"/>
      <c r="E119" s="196" t="s">
        <v>288</v>
      </c>
      <c r="F119" s="206" t="s">
        <v>281</v>
      </c>
      <c r="G119" s="217" t="s">
        <v>232</v>
      </c>
      <c r="H119" s="208"/>
      <c r="I119" s="209">
        <v>46293.0</v>
      </c>
      <c r="J119" s="209">
        <v>46293.0</v>
      </c>
      <c r="K119" s="211">
        <f t="shared" si="22"/>
        <v>1</v>
      </c>
      <c r="L119" s="212">
        <f>IF(OR(ISBLANK($I119), ISBLANK($J119)), "", IF('진척율보고서'!$M$4 &lt; $I119, 0, IF('진척율보고서'!$M$4 &gt;= $J119, 1, NETWORKDAYS($I119,'진척율보고서'!$M$4)/$K119)))</f>
        <v>0</v>
      </c>
      <c r="M119" s="213" t="s">
        <v>163</v>
      </c>
      <c r="N119" s="214">
        <f t="shared" si="23"/>
        <v>0</v>
      </c>
      <c r="O119" s="227"/>
      <c r="P119" s="229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</row>
    <row r="120" ht="14.25" customHeight="1">
      <c r="A120" s="142"/>
      <c r="B120" s="184"/>
      <c r="C120" s="196"/>
      <c r="D120" s="196"/>
      <c r="E120" s="196" t="s">
        <v>289</v>
      </c>
      <c r="F120" s="206" t="s">
        <v>281</v>
      </c>
      <c r="G120" s="217" t="s">
        <v>232</v>
      </c>
      <c r="H120" s="208"/>
      <c r="I120" s="209">
        <v>46321.0</v>
      </c>
      <c r="J120" s="209">
        <v>46321.0</v>
      </c>
      <c r="K120" s="211">
        <f t="shared" si="22"/>
        <v>1</v>
      </c>
      <c r="L120" s="212">
        <f>IF(OR(ISBLANK($I120), ISBLANK($J120)), "", IF('진척율보고서'!$M$4 &lt; $I120, 0, IF('진척율보고서'!$M$4 &gt;= $J120, 1, NETWORKDAYS($I120,'진척율보고서'!$M$4)/$K120)))</f>
        <v>0</v>
      </c>
      <c r="M120" s="213" t="s">
        <v>163</v>
      </c>
      <c r="N120" s="214">
        <f t="shared" si="23"/>
        <v>0</v>
      </c>
      <c r="O120" s="227"/>
      <c r="P120" s="229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</row>
    <row r="121" ht="14.25" customHeight="1">
      <c r="A121" s="142"/>
      <c r="B121" s="184"/>
      <c r="C121" s="196"/>
      <c r="D121" s="196"/>
      <c r="E121" s="196" t="s">
        <v>290</v>
      </c>
      <c r="F121" s="206" t="s">
        <v>281</v>
      </c>
      <c r="G121" s="217" t="s">
        <v>232</v>
      </c>
      <c r="H121" s="208"/>
      <c r="I121" s="209">
        <v>46352.0</v>
      </c>
      <c r="J121" s="209">
        <v>46352.0</v>
      </c>
      <c r="K121" s="211">
        <f t="shared" si="22"/>
        <v>1</v>
      </c>
      <c r="L121" s="212">
        <f>IF(OR(ISBLANK($I121), ISBLANK($J121)), "", IF('진척율보고서'!$M$4 &lt; $I121, 0, IF('진척율보고서'!$M$4 &gt;= $J121, 1, NETWORKDAYS($I121,'진척율보고서'!$M$4)/$K121)))</f>
        <v>0</v>
      </c>
      <c r="M121" s="213" t="s">
        <v>163</v>
      </c>
      <c r="N121" s="214">
        <f t="shared" si="23"/>
        <v>0</v>
      </c>
      <c r="O121" s="227"/>
      <c r="P121" s="229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</row>
    <row r="122" ht="14.25" customHeight="1">
      <c r="A122" s="142"/>
      <c r="B122" s="184"/>
      <c r="C122" s="196"/>
      <c r="D122" s="196"/>
      <c r="E122" s="196" t="s">
        <v>291</v>
      </c>
      <c r="F122" s="206" t="s">
        <v>281</v>
      </c>
      <c r="G122" s="217" t="s">
        <v>232</v>
      </c>
      <c r="H122" s="208"/>
      <c r="I122" s="209">
        <v>46384.0</v>
      </c>
      <c r="J122" s="209">
        <v>46384.0</v>
      </c>
      <c r="K122" s="211">
        <f t="shared" si="22"/>
        <v>1</v>
      </c>
      <c r="L122" s="212">
        <f>IF(OR(ISBLANK($I122), ISBLANK($J122)), "", IF('진척율보고서'!$M$4 &lt; $I122, 0, IF('진척율보고서'!$M$4 &gt;= $J122, 1, NETWORKDAYS($I122,'진척율보고서'!$M$4)/$K122)))</f>
        <v>0</v>
      </c>
      <c r="M122" s="213" t="s">
        <v>163</v>
      </c>
      <c r="N122" s="214">
        <f t="shared" si="23"/>
        <v>0</v>
      </c>
      <c r="O122" s="227"/>
      <c r="P122" s="229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</row>
    <row r="123" ht="14.25" customHeight="1">
      <c r="A123" s="142"/>
      <c r="B123" s="184"/>
      <c r="C123" s="196"/>
      <c r="D123" s="196"/>
      <c r="E123" s="196"/>
      <c r="F123" s="206"/>
      <c r="G123" s="207"/>
      <c r="H123" s="208"/>
      <c r="I123" s="209"/>
      <c r="J123" s="210"/>
      <c r="K123" s="211"/>
      <c r="L123" s="212"/>
      <c r="M123" s="213"/>
      <c r="N123" s="214"/>
      <c r="O123" s="227"/>
      <c r="P123" s="229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</row>
    <row r="124" ht="13.5" customHeight="1">
      <c r="A124" s="233"/>
      <c r="B124" s="234"/>
      <c r="C124" s="235"/>
      <c r="D124" s="235"/>
      <c r="E124" s="235"/>
      <c r="F124" s="235"/>
      <c r="G124" s="236"/>
      <c r="H124" s="236"/>
      <c r="I124" s="237"/>
      <c r="J124" s="238"/>
      <c r="K124" s="239"/>
      <c r="L124" s="240"/>
      <c r="M124" s="241"/>
      <c r="N124" s="242"/>
      <c r="O124" s="243"/>
      <c r="P124" s="244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</row>
    <row r="125" ht="13.5" customHeight="1">
      <c r="A125" s="142"/>
      <c r="B125" s="142"/>
      <c r="C125" s="142"/>
      <c r="D125" s="142"/>
      <c r="E125" s="142"/>
      <c r="F125" s="142"/>
      <c r="G125" s="143"/>
      <c r="H125" s="143"/>
      <c r="I125" s="144"/>
      <c r="J125" s="144"/>
      <c r="K125" s="145"/>
      <c r="L125" s="146"/>
      <c r="M125" s="147"/>
      <c r="N125" s="146"/>
      <c r="O125" s="144"/>
      <c r="P125" s="144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</row>
    <row r="126" ht="13.5" customHeight="1">
      <c r="A126" s="142"/>
      <c r="B126" s="142"/>
      <c r="C126" s="142"/>
      <c r="D126" s="142"/>
      <c r="E126" s="142"/>
      <c r="F126" s="142"/>
      <c r="G126" s="143"/>
      <c r="H126" s="143"/>
      <c r="I126" s="144"/>
      <c r="J126" s="144"/>
      <c r="K126" s="145"/>
      <c r="L126" s="146"/>
      <c r="M126" s="147"/>
      <c r="N126" s="146"/>
      <c r="O126" s="144"/>
      <c r="P126" s="144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</row>
    <row r="127" ht="13.5" customHeight="1">
      <c r="A127" s="142"/>
      <c r="B127" s="142"/>
      <c r="C127" s="142"/>
      <c r="D127" s="142"/>
      <c r="E127" s="142"/>
      <c r="F127" s="142"/>
      <c r="G127" s="143"/>
      <c r="H127" s="143"/>
      <c r="I127" s="144"/>
      <c r="J127" s="144"/>
      <c r="K127" s="145"/>
      <c r="L127" s="146"/>
      <c r="M127" s="147"/>
      <c r="N127" s="146"/>
      <c r="O127" s="144"/>
      <c r="P127" s="144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</row>
    <row r="128" ht="13.5" customHeight="1">
      <c r="A128" s="142"/>
      <c r="B128" s="142"/>
      <c r="C128" s="142"/>
      <c r="D128" s="142"/>
      <c r="E128" s="142"/>
      <c r="F128" s="142"/>
      <c r="G128" s="143"/>
      <c r="H128" s="143"/>
      <c r="I128" s="144"/>
      <c r="J128" s="144"/>
      <c r="K128" s="145"/>
      <c r="L128" s="146"/>
      <c r="M128" s="147"/>
      <c r="N128" s="146"/>
      <c r="O128" s="144"/>
      <c r="P128" s="144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</row>
    <row r="129" ht="13.5" customHeight="1">
      <c r="A129" s="142"/>
      <c r="B129" s="142"/>
      <c r="C129" s="142"/>
      <c r="D129" s="142"/>
      <c r="E129" s="142"/>
      <c r="F129" s="142"/>
      <c r="G129" s="143"/>
      <c r="H129" s="143"/>
      <c r="I129" s="144"/>
      <c r="J129" s="144"/>
      <c r="K129" s="145"/>
      <c r="L129" s="146"/>
      <c r="M129" s="147"/>
      <c r="N129" s="146"/>
      <c r="O129" s="144"/>
      <c r="P129" s="144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</row>
    <row r="130" ht="13.5" customHeight="1">
      <c r="A130" s="142"/>
      <c r="B130" s="142"/>
      <c r="C130" s="142"/>
      <c r="D130" s="142"/>
      <c r="E130" s="142"/>
      <c r="F130" s="142"/>
      <c r="G130" s="143"/>
      <c r="H130" s="143"/>
      <c r="I130" s="144"/>
      <c r="J130" s="144"/>
      <c r="K130" s="145"/>
      <c r="L130" s="146"/>
      <c r="M130" s="147"/>
      <c r="N130" s="146"/>
      <c r="O130" s="144"/>
      <c r="P130" s="144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</row>
    <row r="131" ht="13.5" customHeight="1">
      <c r="A131" s="142"/>
      <c r="B131" s="142"/>
      <c r="C131" s="142"/>
      <c r="D131" s="142"/>
      <c r="E131" s="142"/>
      <c r="F131" s="142"/>
      <c r="G131" s="143"/>
      <c r="H131" s="143"/>
      <c r="I131" s="144"/>
      <c r="J131" s="144"/>
      <c r="K131" s="145"/>
      <c r="L131" s="146"/>
      <c r="M131" s="147"/>
      <c r="N131" s="146"/>
      <c r="O131" s="144"/>
      <c r="P131" s="144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</row>
    <row r="132" ht="13.5" customHeight="1">
      <c r="A132" s="142"/>
      <c r="B132" s="142"/>
      <c r="C132" s="142"/>
      <c r="D132" s="142"/>
      <c r="E132" s="142"/>
      <c r="F132" s="142"/>
      <c r="G132" s="143"/>
      <c r="H132" s="143"/>
      <c r="I132" s="144"/>
      <c r="J132" s="144"/>
      <c r="K132" s="145"/>
      <c r="L132" s="146"/>
      <c r="M132" s="147"/>
      <c r="N132" s="146"/>
      <c r="O132" s="144"/>
      <c r="P132" s="144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</row>
    <row r="133" ht="13.5" customHeight="1">
      <c r="A133" s="142"/>
      <c r="B133" s="142"/>
      <c r="C133" s="142"/>
      <c r="D133" s="142"/>
      <c r="E133" s="142"/>
      <c r="F133" s="142"/>
      <c r="G133" s="143"/>
      <c r="H133" s="143"/>
      <c r="I133" s="144"/>
      <c r="J133" s="144"/>
      <c r="K133" s="145"/>
      <c r="L133" s="146"/>
      <c r="M133" s="147"/>
      <c r="N133" s="146"/>
      <c r="O133" s="144"/>
      <c r="P133" s="144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</row>
    <row r="134" ht="13.5" customHeight="1">
      <c r="A134" s="142"/>
      <c r="B134" s="142"/>
      <c r="C134" s="142"/>
      <c r="D134" s="142"/>
      <c r="E134" s="142"/>
      <c r="F134" s="142"/>
      <c r="G134" s="143"/>
      <c r="H134" s="143"/>
      <c r="I134" s="144"/>
      <c r="J134" s="144"/>
      <c r="K134" s="145"/>
      <c r="L134" s="146"/>
      <c r="M134" s="147"/>
      <c r="N134" s="146"/>
      <c r="O134" s="144"/>
      <c r="P134" s="144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</row>
    <row r="135" ht="13.5" customHeight="1">
      <c r="A135" s="142"/>
      <c r="B135" s="142"/>
      <c r="C135" s="142"/>
      <c r="D135" s="142"/>
      <c r="E135" s="142"/>
      <c r="F135" s="142"/>
      <c r="G135" s="143"/>
      <c r="H135" s="143"/>
      <c r="I135" s="144"/>
      <c r="J135" s="144"/>
      <c r="K135" s="145"/>
      <c r="L135" s="146"/>
      <c r="M135" s="147"/>
      <c r="N135" s="146"/>
      <c r="O135" s="144"/>
      <c r="P135" s="144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</row>
    <row r="136" ht="13.5" customHeight="1">
      <c r="A136" s="142"/>
      <c r="B136" s="142"/>
      <c r="C136" s="142"/>
      <c r="D136" s="142"/>
      <c r="E136" s="142"/>
      <c r="F136" s="142"/>
      <c r="G136" s="143"/>
      <c r="H136" s="143"/>
      <c r="I136" s="144"/>
      <c r="J136" s="144"/>
      <c r="K136" s="145"/>
      <c r="L136" s="146"/>
      <c r="M136" s="147"/>
      <c r="N136" s="146"/>
      <c r="O136" s="144"/>
      <c r="P136" s="144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</row>
    <row r="137" ht="13.5" customHeight="1">
      <c r="A137" s="142"/>
      <c r="B137" s="142"/>
      <c r="C137" s="142"/>
      <c r="D137" s="142"/>
      <c r="E137" s="142"/>
      <c r="F137" s="142"/>
      <c r="G137" s="143"/>
      <c r="H137" s="143"/>
      <c r="I137" s="144"/>
      <c r="J137" s="144"/>
      <c r="K137" s="145"/>
      <c r="L137" s="146"/>
      <c r="M137" s="147"/>
      <c r="N137" s="146"/>
      <c r="O137" s="144"/>
      <c r="P137" s="144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</row>
    <row r="138" ht="13.5" customHeight="1">
      <c r="A138" s="142"/>
      <c r="B138" s="142"/>
      <c r="C138" s="142"/>
      <c r="D138" s="142"/>
      <c r="E138" s="142"/>
      <c r="F138" s="142"/>
      <c r="G138" s="143"/>
      <c r="H138" s="143"/>
      <c r="I138" s="144"/>
      <c r="J138" s="144"/>
      <c r="K138" s="145"/>
      <c r="L138" s="146"/>
      <c r="M138" s="147"/>
      <c r="N138" s="146"/>
      <c r="O138" s="144"/>
      <c r="P138" s="144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</row>
    <row r="139" ht="13.5" customHeight="1">
      <c r="A139" s="142"/>
      <c r="B139" s="142"/>
      <c r="C139" s="142"/>
      <c r="D139" s="142"/>
      <c r="E139" s="142"/>
      <c r="F139" s="142"/>
      <c r="G139" s="143"/>
      <c r="H139" s="143"/>
      <c r="I139" s="144"/>
      <c r="J139" s="144"/>
      <c r="K139" s="145"/>
      <c r="L139" s="146"/>
      <c r="M139" s="147"/>
      <c r="N139" s="146"/>
      <c r="O139" s="144"/>
      <c r="P139" s="144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</row>
    <row r="140" ht="13.5" customHeight="1">
      <c r="A140" s="142"/>
      <c r="B140" s="142"/>
      <c r="C140" s="142"/>
      <c r="D140" s="142"/>
      <c r="E140" s="142"/>
      <c r="F140" s="142"/>
      <c r="G140" s="143"/>
      <c r="H140" s="143"/>
      <c r="I140" s="144"/>
      <c r="J140" s="144"/>
      <c r="K140" s="145"/>
      <c r="L140" s="146"/>
      <c r="M140" s="147"/>
      <c r="N140" s="146"/>
      <c r="O140" s="144"/>
      <c r="P140" s="144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</row>
    <row r="141" ht="13.5" customHeight="1">
      <c r="A141" s="142"/>
      <c r="B141" s="142"/>
      <c r="C141" s="142"/>
      <c r="D141" s="142"/>
      <c r="E141" s="142"/>
      <c r="F141" s="142"/>
      <c r="G141" s="143"/>
      <c r="H141" s="143"/>
      <c r="I141" s="144"/>
      <c r="J141" s="144"/>
      <c r="K141" s="145"/>
      <c r="L141" s="146"/>
      <c r="M141" s="147"/>
      <c r="N141" s="146"/>
      <c r="O141" s="144"/>
      <c r="P141" s="144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</row>
    <row r="142" ht="13.5" customHeight="1">
      <c r="A142" s="142"/>
      <c r="B142" s="142"/>
      <c r="C142" s="142"/>
      <c r="D142" s="142"/>
      <c r="E142" s="142"/>
      <c r="F142" s="142"/>
      <c r="G142" s="143"/>
      <c r="H142" s="143"/>
      <c r="I142" s="144"/>
      <c r="J142" s="144"/>
      <c r="K142" s="145"/>
      <c r="L142" s="146"/>
      <c r="M142" s="147"/>
      <c r="N142" s="146"/>
      <c r="O142" s="144"/>
      <c r="P142" s="144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</row>
    <row r="143" ht="13.5" customHeight="1">
      <c r="A143" s="142"/>
      <c r="B143" s="142"/>
      <c r="C143" s="142"/>
      <c r="D143" s="142"/>
      <c r="E143" s="142"/>
      <c r="F143" s="142"/>
      <c r="G143" s="143"/>
      <c r="H143" s="143"/>
      <c r="I143" s="144"/>
      <c r="J143" s="144"/>
      <c r="K143" s="145"/>
      <c r="L143" s="146"/>
      <c r="M143" s="147"/>
      <c r="N143" s="146"/>
      <c r="O143" s="144"/>
      <c r="P143" s="144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</row>
    <row r="144" ht="13.5" customHeight="1">
      <c r="A144" s="142"/>
      <c r="B144" s="142"/>
      <c r="C144" s="142"/>
      <c r="D144" s="142"/>
      <c r="E144" s="142"/>
      <c r="F144" s="142"/>
      <c r="G144" s="143"/>
      <c r="H144" s="143"/>
      <c r="I144" s="144"/>
      <c r="J144" s="144"/>
      <c r="K144" s="145"/>
      <c r="L144" s="146"/>
      <c r="M144" s="147"/>
      <c r="N144" s="146"/>
      <c r="O144" s="144"/>
      <c r="P144" s="144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</row>
    <row r="145" ht="13.5" customHeight="1">
      <c r="A145" s="142"/>
      <c r="B145" s="142"/>
      <c r="C145" s="142"/>
      <c r="D145" s="142"/>
      <c r="E145" s="142"/>
      <c r="F145" s="142"/>
      <c r="G145" s="143"/>
      <c r="H145" s="143"/>
      <c r="I145" s="144"/>
      <c r="J145" s="144"/>
      <c r="K145" s="145"/>
      <c r="L145" s="146"/>
      <c r="M145" s="147"/>
      <c r="N145" s="146"/>
      <c r="O145" s="144"/>
      <c r="P145" s="144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</row>
    <row r="146" ht="13.5" customHeight="1">
      <c r="A146" s="142"/>
      <c r="B146" s="142"/>
      <c r="C146" s="142"/>
      <c r="D146" s="142"/>
      <c r="E146" s="142"/>
      <c r="F146" s="142"/>
      <c r="G146" s="143"/>
      <c r="H146" s="143"/>
      <c r="I146" s="144"/>
      <c r="J146" s="144"/>
      <c r="K146" s="145"/>
      <c r="L146" s="146"/>
      <c r="M146" s="147"/>
      <c r="N146" s="146"/>
      <c r="O146" s="144"/>
      <c r="P146" s="144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</row>
    <row r="147" ht="13.5" customHeight="1">
      <c r="A147" s="142"/>
      <c r="B147" s="142"/>
      <c r="C147" s="142"/>
      <c r="D147" s="142"/>
      <c r="E147" s="142"/>
      <c r="F147" s="142"/>
      <c r="G147" s="143"/>
      <c r="H147" s="143"/>
      <c r="I147" s="144"/>
      <c r="J147" s="144"/>
      <c r="K147" s="145"/>
      <c r="L147" s="146"/>
      <c r="M147" s="147"/>
      <c r="N147" s="146"/>
      <c r="O147" s="144"/>
      <c r="P147" s="144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</row>
    <row r="148" ht="13.5" customHeight="1">
      <c r="A148" s="142"/>
      <c r="B148" s="142"/>
      <c r="C148" s="142"/>
      <c r="D148" s="142"/>
      <c r="E148" s="142"/>
      <c r="F148" s="142"/>
      <c r="G148" s="143"/>
      <c r="H148" s="143"/>
      <c r="I148" s="144"/>
      <c r="J148" s="144"/>
      <c r="K148" s="145"/>
      <c r="L148" s="146"/>
      <c r="M148" s="147"/>
      <c r="N148" s="146"/>
      <c r="O148" s="144"/>
      <c r="P148" s="144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</row>
    <row r="149" ht="13.5" customHeight="1">
      <c r="A149" s="142"/>
      <c r="B149" s="142"/>
      <c r="C149" s="142"/>
      <c r="D149" s="142"/>
      <c r="E149" s="142"/>
      <c r="F149" s="142"/>
      <c r="G149" s="143"/>
      <c r="H149" s="143"/>
      <c r="I149" s="144"/>
      <c r="J149" s="144"/>
      <c r="K149" s="145"/>
      <c r="L149" s="146"/>
      <c r="M149" s="147"/>
      <c r="N149" s="146"/>
      <c r="O149" s="144"/>
      <c r="P149" s="144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</row>
    <row r="150" ht="13.5" customHeight="1">
      <c r="A150" s="142"/>
      <c r="B150" s="142"/>
      <c r="C150" s="142"/>
      <c r="D150" s="142"/>
      <c r="E150" s="142"/>
      <c r="F150" s="142"/>
      <c r="G150" s="143"/>
      <c r="H150" s="143"/>
      <c r="I150" s="144"/>
      <c r="J150" s="144"/>
      <c r="K150" s="145"/>
      <c r="L150" s="146"/>
      <c r="M150" s="147"/>
      <c r="N150" s="146"/>
      <c r="O150" s="144"/>
      <c r="P150" s="144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</row>
    <row r="151" ht="13.5" customHeight="1">
      <c r="A151" s="142"/>
      <c r="B151" s="142"/>
      <c r="C151" s="142"/>
      <c r="D151" s="142"/>
      <c r="E151" s="142"/>
      <c r="F151" s="142"/>
      <c r="G151" s="143"/>
      <c r="H151" s="143"/>
      <c r="I151" s="144"/>
      <c r="J151" s="144"/>
      <c r="K151" s="145"/>
      <c r="L151" s="146"/>
      <c r="M151" s="147"/>
      <c r="N151" s="146"/>
      <c r="O151" s="144"/>
      <c r="P151" s="144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</row>
    <row r="152" ht="13.5" customHeight="1">
      <c r="A152" s="142"/>
      <c r="B152" s="142"/>
      <c r="C152" s="142"/>
      <c r="D152" s="142"/>
      <c r="E152" s="142"/>
      <c r="F152" s="142"/>
      <c r="G152" s="143"/>
      <c r="H152" s="143"/>
      <c r="I152" s="144"/>
      <c r="J152" s="144"/>
      <c r="K152" s="145"/>
      <c r="L152" s="146"/>
      <c r="M152" s="147"/>
      <c r="N152" s="146"/>
      <c r="O152" s="144"/>
      <c r="P152" s="144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</row>
    <row r="153" ht="13.5" customHeight="1">
      <c r="A153" s="142"/>
      <c r="B153" s="142"/>
      <c r="C153" s="142"/>
      <c r="D153" s="142"/>
      <c r="E153" s="142"/>
      <c r="F153" s="142"/>
      <c r="G153" s="143"/>
      <c r="H153" s="143"/>
      <c r="I153" s="144"/>
      <c r="J153" s="144"/>
      <c r="K153" s="145"/>
      <c r="L153" s="146"/>
      <c r="M153" s="147"/>
      <c r="N153" s="146"/>
      <c r="O153" s="144"/>
      <c r="P153" s="144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2"/>
    </row>
    <row r="154" ht="13.5" customHeight="1">
      <c r="A154" s="142"/>
      <c r="B154" s="142"/>
      <c r="C154" s="142"/>
      <c r="D154" s="142"/>
      <c r="E154" s="142"/>
      <c r="F154" s="142"/>
      <c r="G154" s="143"/>
      <c r="H154" s="143"/>
      <c r="I154" s="144"/>
      <c r="J154" s="144"/>
      <c r="K154" s="145"/>
      <c r="L154" s="146"/>
      <c r="M154" s="147"/>
      <c r="N154" s="146"/>
      <c r="O154" s="144"/>
      <c r="P154" s="144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2"/>
    </row>
    <row r="155" ht="13.5" customHeight="1">
      <c r="A155" s="142"/>
      <c r="B155" s="142"/>
      <c r="C155" s="142"/>
      <c r="D155" s="142"/>
      <c r="E155" s="142"/>
      <c r="F155" s="142"/>
      <c r="G155" s="143"/>
      <c r="H155" s="143"/>
      <c r="I155" s="144"/>
      <c r="J155" s="144"/>
      <c r="K155" s="145"/>
      <c r="L155" s="146"/>
      <c r="M155" s="147"/>
      <c r="N155" s="146"/>
      <c r="O155" s="144"/>
      <c r="P155" s="144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</row>
    <row r="156" ht="13.5" customHeight="1">
      <c r="A156" s="142"/>
      <c r="B156" s="142"/>
      <c r="C156" s="142"/>
      <c r="D156" s="142"/>
      <c r="E156" s="142"/>
      <c r="F156" s="142"/>
      <c r="G156" s="143"/>
      <c r="H156" s="143"/>
      <c r="I156" s="144"/>
      <c r="J156" s="144"/>
      <c r="K156" s="145"/>
      <c r="L156" s="146"/>
      <c r="M156" s="147"/>
      <c r="N156" s="146"/>
      <c r="O156" s="144"/>
      <c r="P156" s="144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</row>
    <row r="157" ht="13.5" customHeight="1">
      <c r="A157" s="142"/>
      <c r="B157" s="142"/>
      <c r="C157" s="142"/>
      <c r="D157" s="142"/>
      <c r="E157" s="142"/>
      <c r="F157" s="142"/>
      <c r="G157" s="143"/>
      <c r="H157" s="143"/>
      <c r="I157" s="144"/>
      <c r="J157" s="144"/>
      <c r="K157" s="145"/>
      <c r="L157" s="146"/>
      <c r="M157" s="147"/>
      <c r="N157" s="146"/>
      <c r="O157" s="144"/>
      <c r="P157" s="144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</row>
    <row r="158" ht="13.5" customHeight="1">
      <c r="A158" s="142"/>
      <c r="B158" s="142"/>
      <c r="C158" s="142"/>
      <c r="D158" s="142"/>
      <c r="E158" s="142"/>
      <c r="F158" s="142"/>
      <c r="G158" s="143"/>
      <c r="H158" s="143"/>
      <c r="I158" s="144"/>
      <c r="J158" s="144"/>
      <c r="K158" s="145"/>
      <c r="L158" s="146"/>
      <c r="M158" s="147"/>
      <c r="N158" s="146"/>
      <c r="O158" s="144"/>
      <c r="P158" s="144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</row>
    <row r="159" ht="13.5" customHeight="1">
      <c r="A159" s="142"/>
      <c r="B159" s="142"/>
      <c r="C159" s="142"/>
      <c r="D159" s="142"/>
      <c r="E159" s="142"/>
      <c r="F159" s="142"/>
      <c r="G159" s="143"/>
      <c r="H159" s="143"/>
      <c r="I159" s="144"/>
      <c r="J159" s="144"/>
      <c r="K159" s="145"/>
      <c r="L159" s="146"/>
      <c r="M159" s="147"/>
      <c r="N159" s="146"/>
      <c r="O159" s="144"/>
      <c r="P159" s="144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</row>
    <row r="160" ht="13.5" customHeight="1">
      <c r="A160" s="142"/>
      <c r="B160" s="142"/>
      <c r="C160" s="142"/>
      <c r="D160" s="142"/>
      <c r="E160" s="142"/>
      <c r="F160" s="142"/>
      <c r="G160" s="143"/>
      <c r="H160" s="143"/>
      <c r="I160" s="144"/>
      <c r="J160" s="144"/>
      <c r="K160" s="145"/>
      <c r="L160" s="146"/>
      <c r="M160" s="147"/>
      <c r="N160" s="146"/>
      <c r="O160" s="144"/>
      <c r="P160" s="144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</row>
    <row r="161" ht="13.5" customHeight="1">
      <c r="A161" s="142"/>
      <c r="B161" s="142"/>
      <c r="C161" s="142"/>
      <c r="D161" s="142"/>
      <c r="E161" s="142"/>
      <c r="F161" s="142"/>
      <c r="G161" s="143"/>
      <c r="H161" s="143"/>
      <c r="I161" s="144"/>
      <c r="J161" s="144"/>
      <c r="K161" s="145"/>
      <c r="L161" s="146"/>
      <c r="M161" s="147"/>
      <c r="N161" s="146"/>
      <c r="O161" s="144"/>
      <c r="P161" s="144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</row>
    <row r="162" ht="13.5" customHeight="1">
      <c r="A162" s="142"/>
      <c r="B162" s="142"/>
      <c r="C162" s="142"/>
      <c r="D162" s="142"/>
      <c r="E162" s="142"/>
      <c r="F162" s="142"/>
      <c r="G162" s="143"/>
      <c r="H162" s="143"/>
      <c r="I162" s="144"/>
      <c r="J162" s="144"/>
      <c r="K162" s="145"/>
      <c r="L162" s="146"/>
      <c r="M162" s="147"/>
      <c r="N162" s="146"/>
      <c r="O162" s="144"/>
      <c r="P162" s="144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</row>
    <row r="163" ht="13.5" customHeight="1">
      <c r="A163" s="142"/>
      <c r="B163" s="142"/>
      <c r="C163" s="142"/>
      <c r="D163" s="142"/>
      <c r="E163" s="142"/>
      <c r="F163" s="142"/>
      <c r="G163" s="143"/>
      <c r="H163" s="143"/>
      <c r="I163" s="144"/>
      <c r="J163" s="144"/>
      <c r="K163" s="145"/>
      <c r="L163" s="146"/>
      <c r="M163" s="147"/>
      <c r="N163" s="146"/>
      <c r="O163" s="144"/>
      <c r="P163" s="144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</row>
    <row r="164" ht="13.5" customHeight="1">
      <c r="A164" s="142"/>
      <c r="B164" s="142"/>
      <c r="C164" s="142"/>
      <c r="D164" s="142"/>
      <c r="E164" s="142"/>
      <c r="F164" s="142"/>
      <c r="G164" s="143"/>
      <c r="H164" s="143"/>
      <c r="I164" s="144"/>
      <c r="J164" s="144"/>
      <c r="K164" s="145"/>
      <c r="L164" s="146"/>
      <c r="M164" s="147"/>
      <c r="N164" s="146"/>
      <c r="O164" s="144"/>
      <c r="P164" s="144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</row>
    <row r="165" ht="13.5" customHeight="1">
      <c r="A165" s="142"/>
      <c r="B165" s="142"/>
      <c r="C165" s="142"/>
      <c r="D165" s="142"/>
      <c r="E165" s="142"/>
      <c r="F165" s="142"/>
      <c r="G165" s="143"/>
      <c r="H165" s="143"/>
      <c r="I165" s="144"/>
      <c r="J165" s="144"/>
      <c r="K165" s="145"/>
      <c r="L165" s="146"/>
      <c r="M165" s="147"/>
      <c r="N165" s="146"/>
      <c r="O165" s="144"/>
      <c r="P165" s="144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</row>
    <row r="166" ht="13.5" customHeight="1">
      <c r="A166" s="142"/>
      <c r="B166" s="142"/>
      <c r="C166" s="142"/>
      <c r="D166" s="142"/>
      <c r="E166" s="142"/>
      <c r="F166" s="142"/>
      <c r="G166" s="143"/>
      <c r="H166" s="143"/>
      <c r="I166" s="144"/>
      <c r="J166" s="144"/>
      <c r="K166" s="145"/>
      <c r="L166" s="146"/>
      <c r="M166" s="147"/>
      <c r="N166" s="146"/>
      <c r="O166" s="144"/>
      <c r="P166" s="144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</row>
    <row r="167" ht="13.5" customHeight="1">
      <c r="A167" s="142"/>
      <c r="B167" s="142"/>
      <c r="C167" s="142"/>
      <c r="D167" s="142"/>
      <c r="E167" s="142"/>
      <c r="F167" s="142"/>
      <c r="G167" s="143"/>
      <c r="H167" s="143"/>
      <c r="I167" s="144"/>
      <c r="J167" s="144"/>
      <c r="K167" s="145"/>
      <c r="L167" s="146"/>
      <c r="M167" s="147"/>
      <c r="N167" s="146"/>
      <c r="O167" s="144"/>
      <c r="P167" s="144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</row>
    <row r="168" ht="13.5" customHeight="1">
      <c r="A168" s="142"/>
      <c r="B168" s="142"/>
      <c r="C168" s="142"/>
      <c r="D168" s="142"/>
      <c r="E168" s="142"/>
      <c r="F168" s="142"/>
      <c r="G168" s="143"/>
      <c r="H168" s="143"/>
      <c r="I168" s="144"/>
      <c r="J168" s="144"/>
      <c r="K168" s="145"/>
      <c r="L168" s="146"/>
      <c r="M168" s="147"/>
      <c r="N168" s="146"/>
      <c r="O168" s="144"/>
      <c r="P168" s="144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</row>
    <row r="169" ht="13.5" customHeight="1">
      <c r="A169" s="142"/>
      <c r="B169" s="142"/>
      <c r="C169" s="142"/>
      <c r="D169" s="142"/>
      <c r="E169" s="142"/>
      <c r="F169" s="142"/>
      <c r="G169" s="143"/>
      <c r="H169" s="143"/>
      <c r="I169" s="144"/>
      <c r="J169" s="144"/>
      <c r="K169" s="145"/>
      <c r="L169" s="146"/>
      <c r="M169" s="147"/>
      <c r="N169" s="146"/>
      <c r="O169" s="144"/>
      <c r="P169" s="144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  <c r="AJ169" s="142"/>
    </row>
    <row r="170" ht="13.5" customHeight="1">
      <c r="A170" s="142"/>
      <c r="B170" s="142"/>
      <c r="C170" s="142"/>
      <c r="D170" s="142"/>
      <c r="E170" s="142"/>
      <c r="F170" s="142"/>
      <c r="G170" s="143"/>
      <c r="H170" s="143"/>
      <c r="I170" s="144"/>
      <c r="J170" s="144"/>
      <c r="K170" s="145"/>
      <c r="L170" s="146"/>
      <c r="M170" s="147"/>
      <c r="N170" s="146"/>
      <c r="O170" s="144"/>
      <c r="P170" s="144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  <c r="AJ170" s="142"/>
    </row>
    <row r="171" ht="13.5" customHeight="1">
      <c r="A171" s="142"/>
      <c r="B171" s="142"/>
      <c r="C171" s="142"/>
      <c r="D171" s="142"/>
      <c r="E171" s="142"/>
      <c r="F171" s="142"/>
      <c r="G171" s="143"/>
      <c r="H171" s="143"/>
      <c r="I171" s="144"/>
      <c r="J171" s="144"/>
      <c r="K171" s="145"/>
      <c r="L171" s="146"/>
      <c r="M171" s="147"/>
      <c r="N171" s="146"/>
      <c r="O171" s="144"/>
      <c r="P171" s="144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  <c r="AJ171" s="142"/>
    </row>
    <row r="172" ht="13.5" customHeight="1">
      <c r="A172" s="142"/>
      <c r="B172" s="142"/>
      <c r="C172" s="142"/>
      <c r="D172" s="142"/>
      <c r="E172" s="142"/>
      <c r="F172" s="142"/>
      <c r="G172" s="143"/>
      <c r="H172" s="143"/>
      <c r="I172" s="144"/>
      <c r="J172" s="144"/>
      <c r="K172" s="145"/>
      <c r="L172" s="146"/>
      <c r="M172" s="147"/>
      <c r="N172" s="146"/>
      <c r="O172" s="144"/>
      <c r="P172" s="144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2"/>
    </row>
    <row r="173" ht="13.5" customHeight="1">
      <c r="A173" s="142"/>
      <c r="B173" s="142"/>
      <c r="C173" s="142"/>
      <c r="D173" s="142"/>
      <c r="E173" s="142"/>
      <c r="F173" s="142"/>
      <c r="G173" s="143"/>
      <c r="H173" s="143"/>
      <c r="I173" s="144"/>
      <c r="J173" s="144"/>
      <c r="K173" s="145"/>
      <c r="L173" s="146"/>
      <c r="M173" s="147"/>
      <c r="N173" s="146"/>
      <c r="O173" s="144"/>
      <c r="P173" s="144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2"/>
    </row>
    <row r="174" ht="13.5" customHeight="1">
      <c r="A174" s="142"/>
      <c r="B174" s="142"/>
      <c r="C174" s="142"/>
      <c r="D174" s="142"/>
      <c r="E174" s="142"/>
      <c r="F174" s="142"/>
      <c r="G174" s="143"/>
      <c r="H174" s="143"/>
      <c r="I174" s="144"/>
      <c r="J174" s="144"/>
      <c r="K174" s="145"/>
      <c r="L174" s="146"/>
      <c r="M174" s="147"/>
      <c r="N174" s="146"/>
      <c r="O174" s="144"/>
      <c r="P174" s="144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2"/>
      <c r="AI174" s="142"/>
      <c r="AJ174" s="142"/>
    </row>
    <row r="175" ht="13.5" customHeight="1">
      <c r="A175" s="142"/>
      <c r="B175" s="142"/>
      <c r="C175" s="142"/>
      <c r="D175" s="142"/>
      <c r="E175" s="142"/>
      <c r="F175" s="142"/>
      <c r="G175" s="143"/>
      <c r="H175" s="143"/>
      <c r="I175" s="144"/>
      <c r="J175" s="144"/>
      <c r="K175" s="145"/>
      <c r="L175" s="146"/>
      <c r="M175" s="147"/>
      <c r="N175" s="146"/>
      <c r="O175" s="144"/>
      <c r="P175" s="144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  <c r="AJ175" s="142"/>
    </row>
    <row r="176" ht="13.5" customHeight="1">
      <c r="A176" s="142"/>
      <c r="B176" s="142"/>
      <c r="C176" s="142"/>
      <c r="D176" s="142"/>
      <c r="E176" s="142"/>
      <c r="F176" s="142"/>
      <c r="G176" s="143"/>
      <c r="H176" s="143"/>
      <c r="I176" s="144"/>
      <c r="J176" s="144"/>
      <c r="K176" s="145"/>
      <c r="L176" s="146"/>
      <c r="M176" s="147"/>
      <c r="N176" s="146"/>
      <c r="O176" s="144"/>
      <c r="P176" s="144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</row>
    <row r="177" ht="13.5" customHeight="1">
      <c r="A177" s="142"/>
      <c r="B177" s="142"/>
      <c r="C177" s="142"/>
      <c r="D177" s="142"/>
      <c r="E177" s="142"/>
      <c r="F177" s="142"/>
      <c r="G177" s="143"/>
      <c r="H177" s="143"/>
      <c r="I177" s="144"/>
      <c r="J177" s="144"/>
      <c r="K177" s="145"/>
      <c r="L177" s="146"/>
      <c r="M177" s="147"/>
      <c r="N177" s="146"/>
      <c r="O177" s="144"/>
      <c r="P177" s="144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</row>
    <row r="178" ht="13.5" customHeight="1">
      <c r="A178" s="142"/>
      <c r="B178" s="142"/>
      <c r="C178" s="142"/>
      <c r="D178" s="142"/>
      <c r="E178" s="142"/>
      <c r="F178" s="142"/>
      <c r="G178" s="143"/>
      <c r="H178" s="143"/>
      <c r="I178" s="144"/>
      <c r="J178" s="144"/>
      <c r="K178" s="145"/>
      <c r="L178" s="146"/>
      <c r="M178" s="147"/>
      <c r="N178" s="146"/>
      <c r="O178" s="144"/>
      <c r="P178" s="144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</row>
    <row r="179" ht="13.5" customHeight="1">
      <c r="A179" s="142"/>
      <c r="B179" s="142"/>
      <c r="C179" s="142"/>
      <c r="D179" s="142"/>
      <c r="E179" s="142"/>
      <c r="F179" s="142"/>
      <c r="G179" s="143"/>
      <c r="H179" s="143"/>
      <c r="I179" s="144"/>
      <c r="J179" s="144"/>
      <c r="K179" s="145"/>
      <c r="L179" s="146"/>
      <c r="M179" s="147"/>
      <c r="N179" s="146"/>
      <c r="O179" s="144"/>
      <c r="P179" s="144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</row>
    <row r="180" ht="13.5" customHeight="1">
      <c r="A180" s="142"/>
      <c r="B180" s="142"/>
      <c r="C180" s="142"/>
      <c r="D180" s="142"/>
      <c r="E180" s="142"/>
      <c r="F180" s="142"/>
      <c r="G180" s="143"/>
      <c r="H180" s="143"/>
      <c r="I180" s="144"/>
      <c r="J180" s="144"/>
      <c r="K180" s="145"/>
      <c r="L180" s="146"/>
      <c r="M180" s="147"/>
      <c r="N180" s="146"/>
      <c r="O180" s="144"/>
      <c r="P180" s="144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</row>
    <row r="181" ht="13.5" customHeight="1">
      <c r="A181" s="142"/>
      <c r="B181" s="142"/>
      <c r="C181" s="142"/>
      <c r="D181" s="142"/>
      <c r="E181" s="142"/>
      <c r="F181" s="142"/>
      <c r="G181" s="143"/>
      <c r="H181" s="143"/>
      <c r="I181" s="144"/>
      <c r="J181" s="144"/>
      <c r="K181" s="145"/>
      <c r="L181" s="146"/>
      <c r="M181" s="147"/>
      <c r="N181" s="146"/>
      <c r="O181" s="144"/>
      <c r="P181" s="144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</row>
    <row r="182" ht="13.5" customHeight="1">
      <c r="A182" s="142"/>
      <c r="B182" s="142"/>
      <c r="C182" s="142"/>
      <c r="D182" s="142"/>
      <c r="E182" s="142"/>
      <c r="F182" s="142"/>
      <c r="G182" s="143"/>
      <c r="H182" s="143"/>
      <c r="I182" s="144"/>
      <c r="J182" s="144"/>
      <c r="K182" s="145"/>
      <c r="L182" s="146"/>
      <c r="M182" s="147"/>
      <c r="N182" s="146"/>
      <c r="O182" s="144"/>
      <c r="P182" s="144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</row>
    <row r="183" ht="13.5" customHeight="1">
      <c r="A183" s="142"/>
      <c r="B183" s="142"/>
      <c r="C183" s="142"/>
      <c r="D183" s="142"/>
      <c r="E183" s="142"/>
      <c r="F183" s="142"/>
      <c r="G183" s="143"/>
      <c r="H183" s="143"/>
      <c r="I183" s="144"/>
      <c r="J183" s="144"/>
      <c r="K183" s="145"/>
      <c r="L183" s="146"/>
      <c r="M183" s="147"/>
      <c r="N183" s="146"/>
      <c r="O183" s="144"/>
      <c r="P183" s="144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</row>
    <row r="184" ht="13.5" customHeight="1">
      <c r="A184" s="142"/>
      <c r="B184" s="142"/>
      <c r="C184" s="142"/>
      <c r="D184" s="142"/>
      <c r="E184" s="142"/>
      <c r="F184" s="142"/>
      <c r="G184" s="143"/>
      <c r="H184" s="143"/>
      <c r="I184" s="144"/>
      <c r="J184" s="144"/>
      <c r="K184" s="145"/>
      <c r="L184" s="146"/>
      <c r="M184" s="147"/>
      <c r="N184" s="146"/>
      <c r="O184" s="144"/>
      <c r="P184" s="144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</row>
    <row r="185" ht="13.5" customHeight="1">
      <c r="A185" s="142"/>
      <c r="B185" s="142"/>
      <c r="C185" s="142"/>
      <c r="D185" s="142"/>
      <c r="E185" s="142"/>
      <c r="F185" s="142"/>
      <c r="G185" s="143"/>
      <c r="H185" s="143"/>
      <c r="I185" s="144"/>
      <c r="J185" s="144"/>
      <c r="K185" s="145"/>
      <c r="L185" s="146"/>
      <c r="M185" s="147"/>
      <c r="N185" s="146"/>
      <c r="O185" s="144"/>
      <c r="P185" s="144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</row>
    <row r="186" ht="13.5" customHeight="1">
      <c r="A186" s="142"/>
      <c r="B186" s="142"/>
      <c r="C186" s="142"/>
      <c r="D186" s="142"/>
      <c r="E186" s="142"/>
      <c r="F186" s="142"/>
      <c r="G186" s="143"/>
      <c r="H186" s="143"/>
      <c r="I186" s="144"/>
      <c r="J186" s="144"/>
      <c r="K186" s="145"/>
      <c r="L186" s="146"/>
      <c r="M186" s="147"/>
      <c r="N186" s="146"/>
      <c r="O186" s="144"/>
      <c r="P186" s="144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</row>
    <row r="187" ht="13.5" customHeight="1">
      <c r="A187" s="142"/>
      <c r="B187" s="142"/>
      <c r="C187" s="142"/>
      <c r="D187" s="142"/>
      <c r="E187" s="142"/>
      <c r="F187" s="142"/>
      <c r="G187" s="143"/>
      <c r="H187" s="143"/>
      <c r="I187" s="144"/>
      <c r="J187" s="144"/>
      <c r="K187" s="145"/>
      <c r="L187" s="146"/>
      <c r="M187" s="147"/>
      <c r="N187" s="146"/>
      <c r="O187" s="144"/>
      <c r="P187" s="144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</row>
    <row r="188" ht="13.5" customHeight="1">
      <c r="A188" s="142"/>
      <c r="B188" s="142"/>
      <c r="C188" s="142"/>
      <c r="D188" s="142"/>
      <c r="E188" s="142"/>
      <c r="F188" s="142"/>
      <c r="G188" s="143"/>
      <c r="H188" s="143"/>
      <c r="I188" s="144"/>
      <c r="J188" s="144"/>
      <c r="K188" s="145"/>
      <c r="L188" s="146"/>
      <c r="M188" s="147"/>
      <c r="N188" s="146"/>
      <c r="O188" s="144"/>
      <c r="P188" s="144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</row>
    <row r="189" ht="13.5" customHeight="1">
      <c r="A189" s="142"/>
      <c r="B189" s="142"/>
      <c r="C189" s="142"/>
      <c r="D189" s="142"/>
      <c r="E189" s="142"/>
      <c r="F189" s="142"/>
      <c r="G189" s="143"/>
      <c r="H189" s="143"/>
      <c r="I189" s="144"/>
      <c r="J189" s="144"/>
      <c r="K189" s="145"/>
      <c r="L189" s="146"/>
      <c r="M189" s="147"/>
      <c r="N189" s="146"/>
      <c r="O189" s="144"/>
      <c r="P189" s="144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</row>
    <row r="190" ht="13.5" customHeight="1">
      <c r="A190" s="142"/>
      <c r="B190" s="142"/>
      <c r="C190" s="142"/>
      <c r="D190" s="142"/>
      <c r="E190" s="142"/>
      <c r="F190" s="142"/>
      <c r="G190" s="143"/>
      <c r="H190" s="143"/>
      <c r="I190" s="144"/>
      <c r="J190" s="144"/>
      <c r="K190" s="145"/>
      <c r="L190" s="146"/>
      <c r="M190" s="147"/>
      <c r="N190" s="146"/>
      <c r="O190" s="144"/>
      <c r="P190" s="144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  <c r="AJ190" s="142"/>
    </row>
    <row r="191" ht="13.5" customHeight="1">
      <c r="A191" s="142"/>
      <c r="B191" s="142"/>
      <c r="C191" s="142"/>
      <c r="D191" s="142"/>
      <c r="E191" s="142"/>
      <c r="F191" s="142"/>
      <c r="G191" s="143"/>
      <c r="H191" s="143"/>
      <c r="I191" s="144"/>
      <c r="J191" s="144"/>
      <c r="K191" s="145"/>
      <c r="L191" s="146"/>
      <c r="M191" s="147"/>
      <c r="N191" s="146"/>
      <c r="O191" s="144"/>
      <c r="P191" s="144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  <c r="AI191" s="142"/>
      <c r="AJ191" s="142"/>
    </row>
    <row r="192" ht="13.5" customHeight="1">
      <c r="A192" s="142"/>
      <c r="B192" s="142"/>
      <c r="C192" s="142"/>
      <c r="D192" s="142"/>
      <c r="E192" s="142"/>
      <c r="F192" s="142"/>
      <c r="G192" s="143"/>
      <c r="H192" s="143"/>
      <c r="I192" s="144"/>
      <c r="J192" s="144"/>
      <c r="K192" s="145"/>
      <c r="L192" s="146"/>
      <c r="M192" s="147"/>
      <c r="N192" s="146"/>
      <c r="O192" s="144"/>
      <c r="P192" s="144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2"/>
      <c r="AI192" s="142"/>
      <c r="AJ192" s="142"/>
    </row>
    <row r="193" ht="13.5" customHeight="1">
      <c r="A193" s="142"/>
      <c r="B193" s="142"/>
      <c r="C193" s="142"/>
      <c r="D193" s="142"/>
      <c r="E193" s="142"/>
      <c r="F193" s="142"/>
      <c r="G193" s="143"/>
      <c r="H193" s="143"/>
      <c r="I193" s="144"/>
      <c r="J193" s="144"/>
      <c r="K193" s="145"/>
      <c r="L193" s="146"/>
      <c r="M193" s="147"/>
      <c r="N193" s="146"/>
      <c r="O193" s="144"/>
      <c r="P193" s="144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2"/>
      <c r="AI193" s="142"/>
      <c r="AJ193" s="142"/>
    </row>
    <row r="194" ht="13.5" customHeight="1">
      <c r="A194" s="142"/>
      <c r="B194" s="142"/>
      <c r="C194" s="142"/>
      <c r="D194" s="142"/>
      <c r="E194" s="142"/>
      <c r="F194" s="142"/>
      <c r="G194" s="143"/>
      <c r="H194" s="143"/>
      <c r="I194" s="144"/>
      <c r="J194" s="144"/>
      <c r="K194" s="145"/>
      <c r="L194" s="146"/>
      <c r="M194" s="147"/>
      <c r="N194" s="146"/>
      <c r="O194" s="144"/>
      <c r="P194" s="144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2"/>
      <c r="AI194" s="142"/>
      <c r="AJ194" s="142"/>
    </row>
    <row r="195" ht="13.5" customHeight="1">
      <c r="A195" s="142"/>
      <c r="B195" s="142"/>
      <c r="C195" s="142"/>
      <c r="D195" s="142"/>
      <c r="E195" s="142"/>
      <c r="F195" s="142"/>
      <c r="G195" s="143"/>
      <c r="H195" s="143"/>
      <c r="I195" s="144"/>
      <c r="J195" s="144"/>
      <c r="K195" s="145"/>
      <c r="L195" s="146"/>
      <c r="M195" s="147"/>
      <c r="N195" s="146"/>
      <c r="O195" s="144"/>
      <c r="P195" s="144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2"/>
      <c r="AI195" s="142"/>
      <c r="AJ195" s="142"/>
    </row>
    <row r="196" ht="13.5" customHeight="1">
      <c r="A196" s="142"/>
      <c r="B196" s="142"/>
      <c r="C196" s="142"/>
      <c r="D196" s="142"/>
      <c r="E196" s="142"/>
      <c r="F196" s="142"/>
      <c r="G196" s="143"/>
      <c r="H196" s="143"/>
      <c r="I196" s="144"/>
      <c r="J196" s="144"/>
      <c r="K196" s="145"/>
      <c r="L196" s="146"/>
      <c r="M196" s="147"/>
      <c r="N196" s="146"/>
      <c r="O196" s="144"/>
      <c r="P196" s="144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  <c r="AJ196" s="142"/>
    </row>
    <row r="197" ht="13.5" customHeight="1">
      <c r="A197" s="142"/>
      <c r="B197" s="142"/>
      <c r="C197" s="142"/>
      <c r="D197" s="142"/>
      <c r="E197" s="142"/>
      <c r="F197" s="142"/>
      <c r="G197" s="143"/>
      <c r="H197" s="143"/>
      <c r="I197" s="144"/>
      <c r="J197" s="144"/>
      <c r="K197" s="145"/>
      <c r="L197" s="146"/>
      <c r="M197" s="147"/>
      <c r="N197" s="146"/>
      <c r="O197" s="144"/>
      <c r="P197" s="144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</row>
    <row r="198" ht="13.5" customHeight="1">
      <c r="A198" s="142"/>
      <c r="B198" s="142"/>
      <c r="C198" s="142"/>
      <c r="D198" s="142"/>
      <c r="E198" s="142"/>
      <c r="F198" s="142"/>
      <c r="G198" s="143"/>
      <c r="H198" s="143"/>
      <c r="I198" s="144"/>
      <c r="J198" s="144"/>
      <c r="K198" s="145"/>
      <c r="L198" s="146"/>
      <c r="M198" s="147"/>
      <c r="N198" s="146"/>
      <c r="O198" s="144"/>
      <c r="P198" s="144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</row>
    <row r="199" ht="13.5" customHeight="1">
      <c r="A199" s="142"/>
      <c r="B199" s="142"/>
      <c r="C199" s="142"/>
      <c r="D199" s="142"/>
      <c r="E199" s="142"/>
      <c r="F199" s="142"/>
      <c r="G199" s="143"/>
      <c r="H199" s="143"/>
      <c r="I199" s="144"/>
      <c r="J199" s="144"/>
      <c r="K199" s="145"/>
      <c r="L199" s="146"/>
      <c r="M199" s="147"/>
      <c r="N199" s="146"/>
      <c r="O199" s="144"/>
      <c r="P199" s="144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</row>
    <row r="200" ht="13.5" customHeight="1">
      <c r="A200" s="142"/>
      <c r="B200" s="142"/>
      <c r="C200" s="142"/>
      <c r="D200" s="142"/>
      <c r="E200" s="142"/>
      <c r="F200" s="142"/>
      <c r="G200" s="143"/>
      <c r="H200" s="143"/>
      <c r="I200" s="144"/>
      <c r="J200" s="144"/>
      <c r="K200" s="145"/>
      <c r="L200" s="146"/>
      <c r="M200" s="147"/>
      <c r="N200" s="146"/>
      <c r="O200" s="144"/>
      <c r="P200" s="144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</row>
    <row r="201" ht="13.5" customHeight="1">
      <c r="A201" s="142"/>
      <c r="B201" s="142"/>
      <c r="C201" s="142"/>
      <c r="D201" s="142"/>
      <c r="E201" s="142"/>
      <c r="F201" s="142"/>
      <c r="G201" s="143"/>
      <c r="H201" s="143"/>
      <c r="I201" s="144"/>
      <c r="J201" s="144"/>
      <c r="K201" s="145"/>
      <c r="L201" s="146"/>
      <c r="M201" s="147"/>
      <c r="N201" s="146"/>
      <c r="O201" s="144"/>
      <c r="P201" s="144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  <c r="AJ201" s="142"/>
    </row>
    <row r="202" ht="13.5" customHeight="1">
      <c r="A202" s="142"/>
      <c r="B202" s="142"/>
      <c r="C202" s="142"/>
      <c r="D202" s="142"/>
      <c r="E202" s="142"/>
      <c r="F202" s="142"/>
      <c r="G202" s="143"/>
      <c r="H202" s="143"/>
      <c r="I202" s="144"/>
      <c r="J202" s="144"/>
      <c r="K202" s="145"/>
      <c r="L202" s="146"/>
      <c r="M202" s="147"/>
      <c r="N202" s="146"/>
      <c r="O202" s="144"/>
      <c r="P202" s="144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  <c r="AJ202" s="142"/>
    </row>
    <row r="203" ht="13.5" customHeight="1">
      <c r="A203" s="142"/>
      <c r="B203" s="142"/>
      <c r="C203" s="142"/>
      <c r="D203" s="142"/>
      <c r="E203" s="142"/>
      <c r="F203" s="142"/>
      <c r="G203" s="143"/>
      <c r="H203" s="143"/>
      <c r="I203" s="144"/>
      <c r="J203" s="144"/>
      <c r="K203" s="145"/>
      <c r="L203" s="146"/>
      <c r="M203" s="147"/>
      <c r="N203" s="146"/>
      <c r="O203" s="144"/>
      <c r="P203" s="144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142"/>
    </row>
    <row r="204" ht="13.5" customHeight="1">
      <c r="A204" s="142"/>
      <c r="B204" s="142"/>
      <c r="C204" s="142"/>
      <c r="D204" s="142"/>
      <c r="E204" s="142"/>
      <c r="F204" s="142"/>
      <c r="G204" s="143"/>
      <c r="H204" s="143"/>
      <c r="I204" s="144"/>
      <c r="J204" s="144"/>
      <c r="K204" s="145"/>
      <c r="L204" s="146"/>
      <c r="M204" s="147"/>
      <c r="N204" s="146"/>
      <c r="O204" s="144"/>
      <c r="P204" s="144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2"/>
      <c r="AI204" s="142"/>
      <c r="AJ204" s="142"/>
    </row>
    <row r="205" ht="13.5" customHeight="1">
      <c r="A205" s="142"/>
      <c r="B205" s="142"/>
      <c r="C205" s="142"/>
      <c r="D205" s="142"/>
      <c r="E205" s="142"/>
      <c r="F205" s="142"/>
      <c r="G205" s="143"/>
      <c r="H205" s="143"/>
      <c r="I205" s="144"/>
      <c r="J205" s="144"/>
      <c r="K205" s="145"/>
      <c r="L205" s="146"/>
      <c r="M205" s="147"/>
      <c r="N205" s="146"/>
      <c r="O205" s="144"/>
      <c r="P205" s="144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  <c r="AJ205" s="142"/>
    </row>
    <row r="206" ht="13.5" customHeight="1">
      <c r="A206" s="142"/>
      <c r="B206" s="142"/>
      <c r="C206" s="142"/>
      <c r="D206" s="142"/>
      <c r="E206" s="142"/>
      <c r="F206" s="142"/>
      <c r="G206" s="143"/>
      <c r="H206" s="143"/>
      <c r="I206" s="144"/>
      <c r="J206" s="144"/>
      <c r="K206" s="145"/>
      <c r="L206" s="146"/>
      <c r="M206" s="147"/>
      <c r="N206" s="146"/>
      <c r="O206" s="144"/>
      <c r="P206" s="144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2"/>
      <c r="AI206" s="142"/>
      <c r="AJ206" s="142"/>
    </row>
    <row r="207" ht="13.5" customHeight="1">
      <c r="A207" s="142"/>
      <c r="B207" s="142"/>
      <c r="C207" s="142"/>
      <c r="D207" s="142"/>
      <c r="E207" s="142"/>
      <c r="F207" s="142"/>
      <c r="G207" s="143"/>
      <c r="H207" s="143"/>
      <c r="I207" s="144"/>
      <c r="J207" s="144"/>
      <c r="K207" s="145"/>
      <c r="L207" s="146"/>
      <c r="M207" s="147"/>
      <c r="N207" s="146"/>
      <c r="O207" s="144"/>
      <c r="P207" s="144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2"/>
      <c r="AI207" s="142"/>
      <c r="AJ207" s="142"/>
    </row>
    <row r="208" ht="13.5" customHeight="1">
      <c r="A208" s="142"/>
      <c r="B208" s="142"/>
      <c r="C208" s="142"/>
      <c r="D208" s="142"/>
      <c r="E208" s="142"/>
      <c r="F208" s="142"/>
      <c r="G208" s="143"/>
      <c r="H208" s="143"/>
      <c r="I208" s="144"/>
      <c r="J208" s="144"/>
      <c r="K208" s="145"/>
      <c r="L208" s="146"/>
      <c r="M208" s="147"/>
      <c r="N208" s="146"/>
      <c r="O208" s="144"/>
      <c r="P208" s="144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  <c r="AJ208" s="142"/>
    </row>
    <row r="209" ht="13.5" customHeight="1">
      <c r="A209" s="142"/>
      <c r="B209" s="142"/>
      <c r="C209" s="142"/>
      <c r="D209" s="142"/>
      <c r="E209" s="142"/>
      <c r="F209" s="142"/>
      <c r="G209" s="143"/>
      <c r="H209" s="143"/>
      <c r="I209" s="144"/>
      <c r="J209" s="144"/>
      <c r="K209" s="145"/>
      <c r="L209" s="146"/>
      <c r="M209" s="147"/>
      <c r="N209" s="146"/>
      <c r="O209" s="144"/>
      <c r="P209" s="144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2"/>
      <c r="AI209" s="142"/>
      <c r="AJ209" s="142"/>
    </row>
    <row r="210" ht="13.5" customHeight="1">
      <c r="A210" s="142"/>
      <c r="B210" s="142"/>
      <c r="C210" s="142"/>
      <c r="D210" s="142"/>
      <c r="E210" s="142"/>
      <c r="F210" s="142"/>
      <c r="G210" s="143"/>
      <c r="H210" s="143"/>
      <c r="I210" s="144"/>
      <c r="J210" s="144"/>
      <c r="K210" s="145"/>
      <c r="L210" s="146"/>
      <c r="M210" s="147"/>
      <c r="N210" s="146"/>
      <c r="O210" s="144"/>
      <c r="P210" s="144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2"/>
      <c r="AI210" s="142"/>
      <c r="AJ210" s="142"/>
    </row>
    <row r="211" ht="13.5" customHeight="1">
      <c r="A211" s="142"/>
      <c r="B211" s="142"/>
      <c r="C211" s="142"/>
      <c r="D211" s="142"/>
      <c r="E211" s="142"/>
      <c r="F211" s="142"/>
      <c r="G211" s="143"/>
      <c r="H211" s="143"/>
      <c r="I211" s="144"/>
      <c r="J211" s="144"/>
      <c r="K211" s="145"/>
      <c r="L211" s="146"/>
      <c r="M211" s="147"/>
      <c r="N211" s="146"/>
      <c r="O211" s="144"/>
      <c r="P211" s="144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  <c r="AF211" s="142"/>
      <c r="AG211" s="142"/>
      <c r="AH211" s="142"/>
      <c r="AI211" s="142"/>
      <c r="AJ211" s="142"/>
    </row>
    <row r="212" ht="13.5" customHeight="1">
      <c r="A212" s="142"/>
      <c r="B212" s="142"/>
      <c r="C212" s="142"/>
      <c r="D212" s="142"/>
      <c r="E212" s="142"/>
      <c r="F212" s="142"/>
      <c r="G212" s="143"/>
      <c r="H212" s="143"/>
      <c r="I212" s="144"/>
      <c r="J212" s="144"/>
      <c r="K212" s="145"/>
      <c r="L212" s="146"/>
      <c r="M212" s="147"/>
      <c r="N212" s="146"/>
      <c r="O212" s="144"/>
      <c r="P212" s="144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  <c r="AF212" s="142"/>
      <c r="AG212" s="142"/>
      <c r="AH212" s="142"/>
      <c r="AI212" s="142"/>
      <c r="AJ212" s="142"/>
    </row>
    <row r="213" ht="13.5" customHeight="1">
      <c r="A213" s="142"/>
      <c r="B213" s="142"/>
      <c r="C213" s="142"/>
      <c r="D213" s="142"/>
      <c r="E213" s="142"/>
      <c r="F213" s="142"/>
      <c r="G213" s="143"/>
      <c r="H213" s="143"/>
      <c r="I213" s="144"/>
      <c r="J213" s="144"/>
      <c r="K213" s="145"/>
      <c r="L213" s="146"/>
      <c r="M213" s="147"/>
      <c r="N213" s="146"/>
      <c r="O213" s="144"/>
      <c r="P213" s="144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  <c r="AF213" s="142"/>
      <c r="AG213" s="142"/>
      <c r="AH213" s="142"/>
      <c r="AI213" s="142"/>
      <c r="AJ213" s="142"/>
    </row>
    <row r="214" ht="13.5" customHeight="1">
      <c r="A214" s="142"/>
      <c r="B214" s="142"/>
      <c r="C214" s="142"/>
      <c r="D214" s="142"/>
      <c r="E214" s="142"/>
      <c r="F214" s="142"/>
      <c r="G214" s="143"/>
      <c r="H214" s="143"/>
      <c r="I214" s="144"/>
      <c r="J214" s="144"/>
      <c r="K214" s="145"/>
      <c r="L214" s="146"/>
      <c r="M214" s="147"/>
      <c r="N214" s="146"/>
      <c r="O214" s="144"/>
      <c r="P214" s="144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42"/>
      <c r="AG214" s="142"/>
      <c r="AH214" s="142"/>
      <c r="AI214" s="142"/>
      <c r="AJ214" s="142"/>
    </row>
    <row r="215" ht="13.5" customHeight="1">
      <c r="A215" s="142"/>
      <c r="B215" s="142"/>
      <c r="C215" s="142"/>
      <c r="D215" s="142"/>
      <c r="E215" s="142"/>
      <c r="F215" s="142"/>
      <c r="G215" s="143"/>
      <c r="H215" s="143"/>
      <c r="I215" s="144"/>
      <c r="J215" s="144"/>
      <c r="K215" s="145"/>
      <c r="L215" s="146"/>
      <c r="M215" s="147"/>
      <c r="N215" s="146"/>
      <c r="O215" s="144"/>
      <c r="P215" s="144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  <c r="AF215" s="142"/>
      <c r="AG215" s="142"/>
      <c r="AH215" s="142"/>
      <c r="AI215" s="142"/>
      <c r="AJ215" s="142"/>
    </row>
    <row r="216" ht="13.5" customHeight="1">
      <c r="A216" s="142"/>
      <c r="B216" s="142"/>
      <c r="C216" s="142"/>
      <c r="D216" s="142"/>
      <c r="E216" s="142"/>
      <c r="F216" s="142"/>
      <c r="G216" s="143"/>
      <c r="H216" s="143"/>
      <c r="I216" s="144"/>
      <c r="J216" s="144"/>
      <c r="K216" s="145"/>
      <c r="L216" s="146"/>
      <c r="M216" s="147"/>
      <c r="N216" s="146"/>
      <c r="O216" s="144"/>
      <c r="P216" s="144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  <c r="AF216" s="142"/>
      <c r="AG216" s="142"/>
      <c r="AH216" s="142"/>
      <c r="AI216" s="142"/>
      <c r="AJ216" s="142"/>
    </row>
    <row r="217" ht="13.5" customHeight="1">
      <c r="A217" s="142"/>
      <c r="B217" s="142"/>
      <c r="C217" s="142"/>
      <c r="D217" s="142"/>
      <c r="E217" s="142"/>
      <c r="F217" s="142"/>
      <c r="G217" s="143"/>
      <c r="H217" s="143"/>
      <c r="I217" s="144"/>
      <c r="J217" s="144"/>
      <c r="K217" s="145"/>
      <c r="L217" s="146"/>
      <c r="M217" s="147"/>
      <c r="N217" s="146"/>
      <c r="O217" s="144"/>
      <c r="P217" s="144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42"/>
      <c r="AG217" s="142"/>
      <c r="AH217" s="142"/>
      <c r="AI217" s="142"/>
      <c r="AJ217" s="142"/>
    </row>
    <row r="218" ht="13.5" customHeight="1">
      <c r="A218" s="142"/>
      <c r="B218" s="142"/>
      <c r="C218" s="142"/>
      <c r="D218" s="142"/>
      <c r="E218" s="142"/>
      <c r="F218" s="142"/>
      <c r="G218" s="143"/>
      <c r="H218" s="143"/>
      <c r="I218" s="144"/>
      <c r="J218" s="144"/>
      <c r="K218" s="145"/>
      <c r="L218" s="146"/>
      <c r="M218" s="147"/>
      <c r="N218" s="146"/>
      <c r="O218" s="144"/>
      <c r="P218" s="144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42"/>
      <c r="AG218" s="142"/>
      <c r="AH218" s="142"/>
      <c r="AI218" s="142"/>
      <c r="AJ218" s="142"/>
    </row>
    <row r="219" ht="13.5" customHeight="1">
      <c r="A219" s="142"/>
      <c r="B219" s="142"/>
      <c r="C219" s="142"/>
      <c r="D219" s="142"/>
      <c r="E219" s="142"/>
      <c r="F219" s="142"/>
      <c r="G219" s="143"/>
      <c r="H219" s="143"/>
      <c r="I219" s="144"/>
      <c r="J219" s="144"/>
      <c r="K219" s="145"/>
      <c r="L219" s="146"/>
      <c r="M219" s="147"/>
      <c r="N219" s="146"/>
      <c r="O219" s="144"/>
      <c r="P219" s="144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  <c r="AF219" s="142"/>
      <c r="AG219" s="142"/>
      <c r="AH219" s="142"/>
      <c r="AI219" s="142"/>
      <c r="AJ219" s="142"/>
    </row>
    <row r="220" ht="13.5" customHeight="1">
      <c r="A220" s="142"/>
      <c r="B220" s="142"/>
      <c r="C220" s="142"/>
      <c r="D220" s="142"/>
      <c r="E220" s="142"/>
      <c r="F220" s="142"/>
      <c r="G220" s="143"/>
      <c r="H220" s="143"/>
      <c r="I220" s="144"/>
      <c r="J220" s="144"/>
      <c r="K220" s="145"/>
      <c r="L220" s="146"/>
      <c r="M220" s="147"/>
      <c r="N220" s="146"/>
      <c r="O220" s="144"/>
      <c r="P220" s="144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  <c r="AF220" s="142"/>
      <c r="AG220" s="142"/>
      <c r="AH220" s="142"/>
      <c r="AI220" s="142"/>
      <c r="AJ220" s="142"/>
    </row>
    <row r="221" ht="13.5" customHeight="1">
      <c r="A221" s="142"/>
      <c r="B221" s="142"/>
      <c r="C221" s="142"/>
      <c r="D221" s="142"/>
      <c r="E221" s="142"/>
      <c r="F221" s="142"/>
      <c r="G221" s="143"/>
      <c r="H221" s="143"/>
      <c r="I221" s="144"/>
      <c r="J221" s="144"/>
      <c r="K221" s="145"/>
      <c r="L221" s="146"/>
      <c r="M221" s="147"/>
      <c r="N221" s="146"/>
      <c r="O221" s="144"/>
      <c r="P221" s="144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  <c r="AF221" s="142"/>
      <c r="AG221" s="142"/>
      <c r="AH221" s="142"/>
      <c r="AI221" s="142"/>
      <c r="AJ221" s="142"/>
    </row>
    <row r="222" ht="13.5" customHeight="1">
      <c r="A222" s="142"/>
      <c r="B222" s="142"/>
      <c r="C222" s="142"/>
      <c r="D222" s="142"/>
      <c r="E222" s="142"/>
      <c r="F222" s="142"/>
      <c r="G222" s="143"/>
      <c r="H222" s="143"/>
      <c r="I222" s="144"/>
      <c r="J222" s="144"/>
      <c r="K222" s="145"/>
      <c r="L222" s="146"/>
      <c r="M222" s="147"/>
      <c r="N222" s="146"/>
      <c r="O222" s="144"/>
      <c r="P222" s="144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42"/>
      <c r="AG222" s="142"/>
      <c r="AH222" s="142"/>
      <c r="AI222" s="142"/>
      <c r="AJ222" s="142"/>
    </row>
    <row r="223" ht="13.5" customHeight="1">
      <c r="A223" s="142"/>
      <c r="B223" s="142"/>
      <c r="C223" s="142"/>
      <c r="D223" s="142"/>
      <c r="E223" s="142"/>
      <c r="F223" s="142"/>
      <c r="G223" s="143"/>
      <c r="H223" s="143"/>
      <c r="I223" s="144"/>
      <c r="J223" s="144"/>
      <c r="K223" s="145"/>
      <c r="L223" s="146"/>
      <c r="M223" s="147"/>
      <c r="N223" s="146"/>
      <c r="O223" s="144"/>
      <c r="P223" s="144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  <c r="AF223" s="142"/>
      <c r="AG223" s="142"/>
      <c r="AH223" s="142"/>
      <c r="AI223" s="142"/>
      <c r="AJ223" s="142"/>
    </row>
    <row r="224" ht="13.5" customHeight="1">
      <c r="A224" s="142"/>
      <c r="B224" s="142"/>
      <c r="C224" s="142"/>
      <c r="D224" s="142"/>
      <c r="E224" s="142"/>
      <c r="F224" s="142"/>
      <c r="G224" s="143"/>
      <c r="H224" s="143"/>
      <c r="I224" s="144"/>
      <c r="J224" s="144"/>
      <c r="K224" s="145"/>
      <c r="L224" s="146"/>
      <c r="M224" s="147"/>
      <c r="N224" s="146"/>
      <c r="O224" s="144"/>
      <c r="P224" s="144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  <c r="AF224" s="142"/>
      <c r="AG224" s="142"/>
      <c r="AH224" s="142"/>
      <c r="AI224" s="142"/>
      <c r="AJ224" s="142"/>
    </row>
    <row r="225" ht="13.5" customHeight="1">
      <c r="A225" s="142"/>
      <c r="B225" s="142"/>
      <c r="C225" s="142"/>
      <c r="D225" s="142"/>
      <c r="E225" s="142"/>
      <c r="F225" s="142"/>
      <c r="G225" s="143"/>
      <c r="H225" s="143"/>
      <c r="I225" s="144"/>
      <c r="J225" s="144"/>
      <c r="K225" s="145"/>
      <c r="L225" s="146"/>
      <c r="M225" s="147"/>
      <c r="N225" s="146"/>
      <c r="O225" s="144"/>
      <c r="P225" s="144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  <c r="AF225" s="142"/>
      <c r="AG225" s="142"/>
      <c r="AH225" s="142"/>
      <c r="AI225" s="142"/>
      <c r="AJ225" s="142"/>
    </row>
    <row r="226" ht="13.5" customHeight="1">
      <c r="A226" s="142"/>
      <c r="B226" s="142"/>
      <c r="C226" s="142"/>
      <c r="D226" s="142"/>
      <c r="E226" s="142"/>
      <c r="F226" s="142"/>
      <c r="G226" s="143"/>
      <c r="H226" s="143"/>
      <c r="I226" s="144"/>
      <c r="J226" s="144"/>
      <c r="K226" s="145"/>
      <c r="L226" s="146"/>
      <c r="M226" s="147"/>
      <c r="N226" s="146"/>
      <c r="O226" s="144"/>
      <c r="P226" s="144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142"/>
      <c r="AJ226" s="142"/>
    </row>
    <row r="227" ht="13.5" customHeight="1">
      <c r="A227" s="142"/>
      <c r="B227" s="142"/>
      <c r="C227" s="142"/>
      <c r="D227" s="142"/>
      <c r="E227" s="142"/>
      <c r="F227" s="142"/>
      <c r="G227" s="143"/>
      <c r="H227" s="143"/>
      <c r="I227" s="144"/>
      <c r="J227" s="144"/>
      <c r="K227" s="145"/>
      <c r="L227" s="146"/>
      <c r="M227" s="147"/>
      <c r="N227" s="146"/>
      <c r="O227" s="144"/>
      <c r="P227" s="144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  <c r="AE227" s="142"/>
      <c r="AF227" s="142"/>
      <c r="AG227" s="142"/>
      <c r="AH227" s="142"/>
      <c r="AI227" s="142"/>
      <c r="AJ227" s="142"/>
    </row>
    <row r="228" ht="13.5" customHeight="1">
      <c r="A228" s="142"/>
      <c r="B228" s="142"/>
      <c r="C228" s="142"/>
      <c r="D228" s="142"/>
      <c r="E228" s="142"/>
      <c r="F228" s="142"/>
      <c r="G228" s="143"/>
      <c r="H228" s="143"/>
      <c r="I228" s="144"/>
      <c r="J228" s="144"/>
      <c r="K228" s="145"/>
      <c r="L228" s="146"/>
      <c r="M228" s="147"/>
      <c r="N228" s="146"/>
      <c r="O228" s="144"/>
      <c r="P228" s="144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  <c r="AF228" s="142"/>
      <c r="AG228" s="142"/>
      <c r="AH228" s="142"/>
      <c r="AI228" s="142"/>
      <c r="AJ228" s="142"/>
    </row>
    <row r="229" ht="13.5" customHeight="1">
      <c r="A229" s="142"/>
      <c r="B229" s="142"/>
      <c r="C229" s="142"/>
      <c r="D229" s="142"/>
      <c r="E229" s="142"/>
      <c r="F229" s="142"/>
      <c r="G229" s="143"/>
      <c r="H229" s="143"/>
      <c r="I229" s="144"/>
      <c r="J229" s="144"/>
      <c r="K229" s="145"/>
      <c r="L229" s="146"/>
      <c r="M229" s="147"/>
      <c r="N229" s="146"/>
      <c r="O229" s="144"/>
      <c r="P229" s="144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  <c r="AF229" s="142"/>
      <c r="AG229" s="142"/>
      <c r="AH229" s="142"/>
      <c r="AI229" s="142"/>
      <c r="AJ229" s="142"/>
    </row>
    <row r="230" ht="13.5" customHeight="1">
      <c r="A230" s="142"/>
      <c r="B230" s="142"/>
      <c r="C230" s="142"/>
      <c r="D230" s="142"/>
      <c r="E230" s="142"/>
      <c r="F230" s="142"/>
      <c r="G230" s="143"/>
      <c r="H230" s="143"/>
      <c r="I230" s="144"/>
      <c r="J230" s="144"/>
      <c r="K230" s="145"/>
      <c r="L230" s="146"/>
      <c r="M230" s="147"/>
      <c r="N230" s="146"/>
      <c r="O230" s="144"/>
      <c r="P230" s="144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  <c r="AA230" s="142"/>
      <c r="AB230" s="142"/>
      <c r="AC230" s="142"/>
      <c r="AD230" s="142"/>
      <c r="AE230" s="142"/>
      <c r="AF230" s="142"/>
      <c r="AG230" s="142"/>
      <c r="AH230" s="142"/>
      <c r="AI230" s="142"/>
      <c r="AJ230" s="142"/>
    </row>
    <row r="231" ht="13.5" customHeight="1">
      <c r="A231" s="142"/>
      <c r="B231" s="142"/>
      <c r="C231" s="142"/>
      <c r="D231" s="142"/>
      <c r="E231" s="142"/>
      <c r="F231" s="142"/>
      <c r="G231" s="143"/>
      <c r="H231" s="143"/>
      <c r="I231" s="144"/>
      <c r="J231" s="144"/>
      <c r="K231" s="145"/>
      <c r="L231" s="146"/>
      <c r="M231" s="147"/>
      <c r="N231" s="146"/>
      <c r="O231" s="144"/>
      <c r="P231" s="144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  <c r="AA231" s="142"/>
      <c r="AB231" s="142"/>
      <c r="AC231" s="142"/>
      <c r="AD231" s="142"/>
      <c r="AE231" s="142"/>
      <c r="AF231" s="142"/>
      <c r="AG231" s="142"/>
      <c r="AH231" s="142"/>
      <c r="AI231" s="142"/>
      <c r="AJ231" s="142"/>
    </row>
    <row r="232" ht="13.5" customHeight="1">
      <c r="A232" s="142"/>
      <c r="B232" s="142"/>
      <c r="C232" s="142"/>
      <c r="D232" s="142"/>
      <c r="E232" s="142"/>
      <c r="F232" s="142"/>
      <c r="G232" s="143"/>
      <c r="H232" s="143"/>
      <c r="I232" s="144"/>
      <c r="J232" s="144"/>
      <c r="K232" s="145"/>
      <c r="L232" s="146"/>
      <c r="M232" s="147"/>
      <c r="N232" s="146"/>
      <c r="O232" s="144"/>
      <c r="P232" s="144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  <c r="AA232" s="142"/>
      <c r="AB232" s="142"/>
      <c r="AC232" s="142"/>
      <c r="AD232" s="142"/>
      <c r="AE232" s="142"/>
      <c r="AF232" s="142"/>
      <c r="AG232" s="142"/>
      <c r="AH232" s="142"/>
      <c r="AI232" s="142"/>
      <c r="AJ232" s="142"/>
    </row>
    <row r="233" ht="13.5" customHeight="1">
      <c r="A233" s="142"/>
      <c r="B233" s="142"/>
      <c r="C233" s="142"/>
      <c r="D233" s="142"/>
      <c r="E233" s="142"/>
      <c r="F233" s="142"/>
      <c r="G233" s="143"/>
      <c r="H233" s="143"/>
      <c r="I233" s="144"/>
      <c r="J233" s="144"/>
      <c r="K233" s="145"/>
      <c r="L233" s="146"/>
      <c r="M233" s="147"/>
      <c r="N233" s="146"/>
      <c r="O233" s="144"/>
      <c r="P233" s="144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  <c r="AA233" s="142"/>
      <c r="AB233" s="142"/>
      <c r="AC233" s="142"/>
      <c r="AD233" s="142"/>
      <c r="AE233" s="142"/>
      <c r="AF233" s="142"/>
      <c r="AG233" s="142"/>
      <c r="AH233" s="142"/>
      <c r="AI233" s="142"/>
      <c r="AJ233" s="142"/>
    </row>
    <row r="234" ht="13.5" customHeight="1">
      <c r="A234" s="142"/>
      <c r="B234" s="142"/>
      <c r="C234" s="142"/>
      <c r="D234" s="142"/>
      <c r="E234" s="142"/>
      <c r="F234" s="142"/>
      <c r="G234" s="143"/>
      <c r="H234" s="143"/>
      <c r="I234" s="144"/>
      <c r="J234" s="144"/>
      <c r="K234" s="145"/>
      <c r="L234" s="146"/>
      <c r="M234" s="147"/>
      <c r="N234" s="146"/>
      <c r="O234" s="144"/>
      <c r="P234" s="144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  <c r="AA234" s="142"/>
      <c r="AB234" s="142"/>
      <c r="AC234" s="142"/>
      <c r="AD234" s="142"/>
      <c r="AE234" s="142"/>
      <c r="AF234" s="142"/>
      <c r="AG234" s="142"/>
      <c r="AH234" s="142"/>
      <c r="AI234" s="142"/>
      <c r="AJ234" s="142"/>
    </row>
    <row r="235" ht="13.5" customHeight="1">
      <c r="A235" s="142"/>
      <c r="B235" s="142"/>
      <c r="C235" s="142"/>
      <c r="D235" s="142"/>
      <c r="E235" s="142"/>
      <c r="F235" s="142"/>
      <c r="G235" s="143"/>
      <c r="H235" s="143"/>
      <c r="I235" s="144"/>
      <c r="J235" s="144"/>
      <c r="K235" s="145"/>
      <c r="L235" s="146"/>
      <c r="M235" s="147"/>
      <c r="N235" s="146"/>
      <c r="O235" s="144"/>
      <c r="P235" s="144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  <c r="AA235" s="142"/>
      <c r="AB235" s="142"/>
      <c r="AC235" s="142"/>
      <c r="AD235" s="142"/>
      <c r="AE235" s="142"/>
      <c r="AF235" s="142"/>
      <c r="AG235" s="142"/>
      <c r="AH235" s="142"/>
      <c r="AI235" s="142"/>
      <c r="AJ235" s="142"/>
    </row>
    <row r="236" ht="13.5" customHeight="1">
      <c r="A236" s="142"/>
      <c r="B236" s="142"/>
      <c r="C236" s="142"/>
      <c r="D236" s="142"/>
      <c r="E236" s="142"/>
      <c r="F236" s="142"/>
      <c r="G236" s="143"/>
      <c r="H236" s="143"/>
      <c r="I236" s="144"/>
      <c r="J236" s="144"/>
      <c r="K236" s="145"/>
      <c r="L236" s="146"/>
      <c r="M236" s="147"/>
      <c r="N236" s="146"/>
      <c r="O236" s="144"/>
      <c r="P236" s="144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  <c r="AA236" s="142"/>
      <c r="AB236" s="142"/>
      <c r="AC236" s="142"/>
      <c r="AD236" s="142"/>
      <c r="AE236" s="142"/>
      <c r="AF236" s="142"/>
      <c r="AG236" s="142"/>
      <c r="AH236" s="142"/>
      <c r="AI236" s="142"/>
      <c r="AJ236" s="142"/>
    </row>
    <row r="237" ht="13.5" customHeight="1">
      <c r="A237" s="142"/>
      <c r="B237" s="142"/>
      <c r="C237" s="142"/>
      <c r="D237" s="142"/>
      <c r="E237" s="142"/>
      <c r="F237" s="142"/>
      <c r="G237" s="143"/>
      <c r="H237" s="143"/>
      <c r="I237" s="144"/>
      <c r="J237" s="144"/>
      <c r="K237" s="145"/>
      <c r="L237" s="146"/>
      <c r="M237" s="147"/>
      <c r="N237" s="146"/>
      <c r="O237" s="144"/>
      <c r="P237" s="144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  <c r="AA237" s="142"/>
      <c r="AB237" s="142"/>
      <c r="AC237" s="142"/>
      <c r="AD237" s="142"/>
      <c r="AE237" s="142"/>
      <c r="AF237" s="142"/>
      <c r="AG237" s="142"/>
      <c r="AH237" s="142"/>
      <c r="AI237" s="142"/>
      <c r="AJ237" s="142"/>
    </row>
    <row r="238" ht="13.5" customHeight="1">
      <c r="A238" s="142"/>
      <c r="B238" s="142"/>
      <c r="C238" s="142"/>
      <c r="D238" s="142"/>
      <c r="E238" s="142"/>
      <c r="F238" s="142"/>
      <c r="G238" s="143"/>
      <c r="H238" s="143"/>
      <c r="I238" s="144"/>
      <c r="J238" s="144"/>
      <c r="K238" s="145"/>
      <c r="L238" s="146"/>
      <c r="M238" s="147"/>
      <c r="N238" s="146"/>
      <c r="O238" s="144"/>
      <c r="P238" s="144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  <c r="AA238" s="142"/>
      <c r="AB238" s="142"/>
      <c r="AC238" s="142"/>
      <c r="AD238" s="142"/>
      <c r="AE238" s="142"/>
      <c r="AF238" s="142"/>
      <c r="AG238" s="142"/>
      <c r="AH238" s="142"/>
      <c r="AI238" s="142"/>
      <c r="AJ238" s="142"/>
    </row>
    <row r="239" ht="13.5" customHeight="1">
      <c r="A239" s="142"/>
      <c r="B239" s="142"/>
      <c r="C239" s="142"/>
      <c r="D239" s="142"/>
      <c r="E239" s="142"/>
      <c r="F239" s="142"/>
      <c r="G239" s="143"/>
      <c r="H239" s="143"/>
      <c r="I239" s="144"/>
      <c r="J239" s="144"/>
      <c r="K239" s="145"/>
      <c r="L239" s="146"/>
      <c r="M239" s="147"/>
      <c r="N239" s="146"/>
      <c r="O239" s="144"/>
      <c r="P239" s="144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  <c r="AA239" s="142"/>
      <c r="AB239" s="142"/>
      <c r="AC239" s="142"/>
      <c r="AD239" s="142"/>
      <c r="AE239" s="142"/>
      <c r="AF239" s="142"/>
      <c r="AG239" s="142"/>
      <c r="AH239" s="142"/>
      <c r="AI239" s="142"/>
      <c r="AJ239" s="142"/>
    </row>
    <row r="240" ht="13.5" customHeight="1">
      <c r="A240" s="142"/>
      <c r="B240" s="142"/>
      <c r="C240" s="142"/>
      <c r="D240" s="142"/>
      <c r="E240" s="142"/>
      <c r="F240" s="142"/>
      <c r="G240" s="143"/>
      <c r="H240" s="143"/>
      <c r="I240" s="144"/>
      <c r="J240" s="144"/>
      <c r="K240" s="145"/>
      <c r="L240" s="146"/>
      <c r="M240" s="147"/>
      <c r="N240" s="146"/>
      <c r="O240" s="144"/>
      <c r="P240" s="144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  <c r="AA240" s="142"/>
      <c r="AB240" s="142"/>
      <c r="AC240" s="142"/>
      <c r="AD240" s="142"/>
      <c r="AE240" s="142"/>
      <c r="AF240" s="142"/>
      <c r="AG240" s="142"/>
      <c r="AH240" s="142"/>
      <c r="AI240" s="142"/>
      <c r="AJ240" s="142"/>
    </row>
    <row r="241" ht="13.5" customHeight="1">
      <c r="A241" s="142"/>
      <c r="B241" s="142"/>
      <c r="C241" s="142"/>
      <c r="D241" s="142"/>
      <c r="E241" s="142"/>
      <c r="F241" s="142"/>
      <c r="G241" s="143"/>
      <c r="H241" s="143"/>
      <c r="I241" s="144"/>
      <c r="J241" s="144"/>
      <c r="K241" s="145"/>
      <c r="L241" s="146"/>
      <c r="M241" s="147"/>
      <c r="N241" s="146"/>
      <c r="O241" s="144"/>
      <c r="P241" s="144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  <c r="AA241" s="142"/>
      <c r="AB241" s="142"/>
      <c r="AC241" s="142"/>
      <c r="AD241" s="142"/>
      <c r="AE241" s="142"/>
      <c r="AF241" s="142"/>
      <c r="AG241" s="142"/>
      <c r="AH241" s="142"/>
      <c r="AI241" s="142"/>
      <c r="AJ241" s="142"/>
    </row>
    <row r="242" ht="13.5" customHeight="1">
      <c r="A242" s="142"/>
      <c r="B242" s="142"/>
      <c r="C242" s="142"/>
      <c r="D242" s="142"/>
      <c r="E242" s="142"/>
      <c r="F242" s="142"/>
      <c r="G242" s="143"/>
      <c r="H242" s="143"/>
      <c r="I242" s="144"/>
      <c r="J242" s="144"/>
      <c r="K242" s="145"/>
      <c r="L242" s="146"/>
      <c r="M242" s="147"/>
      <c r="N242" s="146"/>
      <c r="O242" s="144"/>
      <c r="P242" s="144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142"/>
      <c r="AE242" s="142"/>
      <c r="AF242" s="142"/>
      <c r="AG242" s="142"/>
      <c r="AH242" s="142"/>
      <c r="AI242" s="142"/>
      <c r="AJ242" s="142"/>
    </row>
    <row r="243" ht="13.5" customHeight="1">
      <c r="A243" s="142"/>
      <c r="B243" s="142"/>
      <c r="C243" s="142"/>
      <c r="D243" s="142"/>
      <c r="E243" s="142"/>
      <c r="F243" s="142"/>
      <c r="G243" s="143"/>
      <c r="H243" s="143"/>
      <c r="I243" s="144"/>
      <c r="J243" s="144"/>
      <c r="K243" s="145"/>
      <c r="L243" s="146"/>
      <c r="M243" s="147"/>
      <c r="N243" s="146"/>
      <c r="O243" s="144"/>
      <c r="P243" s="144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  <c r="AA243" s="142"/>
      <c r="AB243" s="142"/>
      <c r="AC243" s="142"/>
      <c r="AD243" s="142"/>
      <c r="AE243" s="142"/>
      <c r="AF243" s="142"/>
      <c r="AG243" s="142"/>
      <c r="AH243" s="142"/>
      <c r="AI243" s="142"/>
      <c r="AJ243" s="142"/>
    </row>
    <row r="244" ht="13.5" customHeight="1">
      <c r="A244" s="142"/>
      <c r="B244" s="142"/>
      <c r="C244" s="142"/>
      <c r="D244" s="142"/>
      <c r="E244" s="142"/>
      <c r="F244" s="142"/>
      <c r="G244" s="143"/>
      <c r="H244" s="143"/>
      <c r="I244" s="144"/>
      <c r="J244" s="144"/>
      <c r="K244" s="145"/>
      <c r="L244" s="146"/>
      <c r="M244" s="147"/>
      <c r="N244" s="146"/>
      <c r="O244" s="144"/>
      <c r="P244" s="144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  <c r="AA244" s="142"/>
      <c r="AB244" s="142"/>
      <c r="AC244" s="142"/>
      <c r="AD244" s="142"/>
      <c r="AE244" s="142"/>
      <c r="AF244" s="142"/>
      <c r="AG244" s="142"/>
      <c r="AH244" s="142"/>
      <c r="AI244" s="142"/>
      <c r="AJ244" s="142"/>
    </row>
    <row r="245" ht="13.5" customHeight="1">
      <c r="A245" s="142"/>
      <c r="B245" s="142"/>
      <c r="C245" s="142"/>
      <c r="D245" s="142"/>
      <c r="E245" s="142"/>
      <c r="F245" s="142"/>
      <c r="G245" s="143"/>
      <c r="H245" s="143"/>
      <c r="I245" s="144"/>
      <c r="J245" s="144"/>
      <c r="K245" s="145"/>
      <c r="L245" s="146"/>
      <c r="M245" s="147"/>
      <c r="N245" s="146"/>
      <c r="O245" s="144"/>
      <c r="P245" s="144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  <c r="AA245" s="142"/>
      <c r="AB245" s="142"/>
      <c r="AC245" s="142"/>
      <c r="AD245" s="142"/>
      <c r="AE245" s="142"/>
      <c r="AF245" s="142"/>
      <c r="AG245" s="142"/>
      <c r="AH245" s="142"/>
      <c r="AI245" s="142"/>
      <c r="AJ245" s="142"/>
    </row>
    <row r="246" ht="13.5" customHeight="1">
      <c r="A246" s="142"/>
      <c r="B246" s="142"/>
      <c r="C246" s="142"/>
      <c r="D246" s="142"/>
      <c r="E246" s="142"/>
      <c r="F246" s="142"/>
      <c r="G246" s="143"/>
      <c r="H246" s="143"/>
      <c r="I246" s="144"/>
      <c r="J246" s="144"/>
      <c r="K246" s="145"/>
      <c r="L246" s="146"/>
      <c r="M246" s="147"/>
      <c r="N246" s="146"/>
      <c r="O246" s="144"/>
      <c r="P246" s="144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  <c r="AA246" s="142"/>
      <c r="AB246" s="142"/>
      <c r="AC246" s="142"/>
      <c r="AD246" s="142"/>
      <c r="AE246" s="142"/>
      <c r="AF246" s="142"/>
      <c r="AG246" s="142"/>
      <c r="AH246" s="142"/>
      <c r="AI246" s="142"/>
      <c r="AJ246" s="142"/>
    </row>
    <row r="247" ht="13.5" customHeight="1">
      <c r="A247" s="142"/>
      <c r="B247" s="142"/>
      <c r="C247" s="142"/>
      <c r="D247" s="142"/>
      <c r="E247" s="142"/>
      <c r="F247" s="142"/>
      <c r="G247" s="143"/>
      <c r="H247" s="143"/>
      <c r="I247" s="144"/>
      <c r="J247" s="144"/>
      <c r="K247" s="145"/>
      <c r="L247" s="146"/>
      <c r="M247" s="147"/>
      <c r="N247" s="146"/>
      <c r="O247" s="144"/>
      <c r="P247" s="144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  <c r="AA247" s="142"/>
      <c r="AB247" s="142"/>
      <c r="AC247" s="142"/>
      <c r="AD247" s="142"/>
      <c r="AE247" s="142"/>
      <c r="AF247" s="142"/>
      <c r="AG247" s="142"/>
      <c r="AH247" s="142"/>
      <c r="AI247" s="142"/>
      <c r="AJ247" s="142"/>
    </row>
    <row r="248" ht="13.5" customHeight="1">
      <c r="A248" s="142"/>
      <c r="B248" s="142"/>
      <c r="C248" s="142"/>
      <c r="D248" s="142"/>
      <c r="E248" s="142"/>
      <c r="F248" s="142"/>
      <c r="G248" s="143"/>
      <c r="H248" s="143"/>
      <c r="I248" s="144"/>
      <c r="J248" s="144"/>
      <c r="K248" s="145"/>
      <c r="L248" s="146"/>
      <c r="M248" s="147"/>
      <c r="N248" s="146"/>
      <c r="O248" s="144"/>
      <c r="P248" s="144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  <c r="AF248" s="142"/>
      <c r="AG248" s="142"/>
      <c r="AH248" s="142"/>
      <c r="AI248" s="142"/>
      <c r="AJ248" s="142"/>
    </row>
    <row r="249" ht="13.5" customHeight="1">
      <c r="A249" s="142"/>
      <c r="B249" s="142"/>
      <c r="C249" s="142"/>
      <c r="D249" s="142"/>
      <c r="E249" s="142"/>
      <c r="F249" s="142"/>
      <c r="G249" s="143"/>
      <c r="H249" s="143"/>
      <c r="I249" s="144"/>
      <c r="J249" s="144"/>
      <c r="K249" s="145"/>
      <c r="L249" s="146"/>
      <c r="M249" s="147"/>
      <c r="N249" s="146"/>
      <c r="O249" s="144"/>
      <c r="P249" s="144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42"/>
      <c r="AG249" s="142"/>
      <c r="AH249" s="142"/>
      <c r="AI249" s="142"/>
      <c r="AJ249" s="142"/>
    </row>
    <row r="250" ht="13.5" customHeight="1">
      <c r="A250" s="142"/>
      <c r="B250" s="142"/>
      <c r="C250" s="142"/>
      <c r="D250" s="142"/>
      <c r="E250" s="142"/>
      <c r="F250" s="142"/>
      <c r="G250" s="143"/>
      <c r="H250" s="143"/>
      <c r="I250" s="144"/>
      <c r="J250" s="144"/>
      <c r="K250" s="145"/>
      <c r="L250" s="146"/>
      <c r="M250" s="147"/>
      <c r="N250" s="146"/>
      <c r="O250" s="144"/>
      <c r="P250" s="144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  <c r="AA250" s="142"/>
      <c r="AB250" s="142"/>
      <c r="AC250" s="142"/>
      <c r="AD250" s="142"/>
      <c r="AE250" s="142"/>
      <c r="AF250" s="142"/>
      <c r="AG250" s="142"/>
      <c r="AH250" s="142"/>
      <c r="AI250" s="142"/>
      <c r="AJ250" s="142"/>
    </row>
    <row r="251" ht="13.5" customHeight="1">
      <c r="A251" s="142"/>
      <c r="B251" s="142"/>
      <c r="C251" s="142"/>
      <c r="D251" s="142"/>
      <c r="E251" s="142"/>
      <c r="F251" s="142"/>
      <c r="G251" s="143"/>
      <c r="H251" s="143"/>
      <c r="I251" s="144"/>
      <c r="J251" s="144"/>
      <c r="K251" s="145"/>
      <c r="L251" s="146"/>
      <c r="M251" s="147"/>
      <c r="N251" s="146"/>
      <c r="O251" s="144"/>
      <c r="P251" s="144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  <c r="AF251" s="142"/>
      <c r="AG251" s="142"/>
      <c r="AH251" s="142"/>
      <c r="AI251" s="142"/>
      <c r="AJ251" s="142"/>
    </row>
    <row r="252" ht="13.5" customHeight="1">
      <c r="A252" s="142"/>
      <c r="B252" s="142"/>
      <c r="C252" s="142"/>
      <c r="D252" s="142"/>
      <c r="E252" s="142"/>
      <c r="F252" s="142"/>
      <c r="G252" s="143"/>
      <c r="H252" s="143"/>
      <c r="I252" s="144"/>
      <c r="J252" s="144"/>
      <c r="K252" s="145"/>
      <c r="L252" s="146"/>
      <c r="M252" s="147"/>
      <c r="N252" s="146"/>
      <c r="O252" s="144"/>
      <c r="P252" s="144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  <c r="AA252" s="142"/>
      <c r="AB252" s="142"/>
      <c r="AC252" s="142"/>
      <c r="AD252" s="142"/>
      <c r="AE252" s="142"/>
      <c r="AF252" s="142"/>
      <c r="AG252" s="142"/>
      <c r="AH252" s="142"/>
      <c r="AI252" s="142"/>
      <c r="AJ252" s="142"/>
    </row>
    <row r="253" ht="13.5" customHeight="1">
      <c r="A253" s="142"/>
      <c r="B253" s="142"/>
      <c r="C253" s="142"/>
      <c r="D253" s="142"/>
      <c r="E253" s="142"/>
      <c r="F253" s="142"/>
      <c r="G253" s="143"/>
      <c r="H253" s="143"/>
      <c r="I253" s="144"/>
      <c r="J253" s="144"/>
      <c r="K253" s="145"/>
      <c r="L253" s="146"/>
      <c r="M253" s="147"/>
      <c r="N253" s="146"/>
      <c r="O253" s="144"/>
      <c r="P253" s="144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  <c r="AA253" s="142"/>
      <c r="AB253" s="142"/>
      <c r="AC253" s="142"/>
      <c r="AD253" s="142"/>
      <c r="AE253" s="142"/>
      <c r="AF253" s="142"/>
      <c r="AG253" s="142"/>
      <c r="AH253" s="142"/>
      <c r="AI253" s="142"/>
      <c r="AJ253" s="142"/>
    </row>
    <row r="254" ht="13.5" customHeight="1">
      <c r="A254" s="142"/>
      <c r="B254" s="142"/>
      <c r="C254" s="142"/>
      <c r="D254" s="142"/>
      <c r="E254" s="142"/>
      <c r="F254" s="142"/>
      <c r="G254" s="143"/>
      <c r="H254" s="143"/>
      <c r="I254" s="144"/>
      <c r="J254" s="144"/>
      <c r="K254" s="145"/>
      <c r="L254" s="146"/>
      <c r="M254" s="147"/>
      <c r="N254" s="146"/>
      <c r="O254" s="144"/>
      <c r="P254" s="144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  <c r="AA254" s="142"/>
      <c r="AB254" s="142"/>
      <c r="AC254" s="142"/>
      <c r="AD254" s="142"/>
      <c r="AE254" s="142"/>
      <c r="AF254" s="142"/>
      <c r="AG254" s="142"/>
      <c r="AH254" s="142"/>
      <c r="AI254" s="142"/>
      <c r="AJ254" s="142"/>
    </row>
    <row r="255" ht="13.5" customHeight="1">
      <c r="A255" s="142"/>
      <c r="B255" s="142"/>
      <c r="C255" s="142"/>
      <c r="D255" s="142"/>
      <c r="E255" s="142"/>
      <c r="F255" s="142"/>
      <c r="G255" s="143"/>
      <c r="H255" s="143"/>
      <c r="I255" s="144"/>
      <c r="J255" s="144"/>
      <c r="K255" s="145"/>
      <c r="L255" s="146"/>
      <c r="M255" s="147"/>
      <c r="N255" s="146"/>
      <c r="O255" s="144"/>
      <c r="P255" s="144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  <c r="AA255" s="142"/>
      <c r="AB255" s="142"/>
      <c r="AC255" s="142"/>
      <c r="AD255" s="142"/>
      <c r="AE255" s="142"/>
      <c r="AF255" s="142"/>
      <c r="AG255" s="142"/>
      <c r="AH255" s="142"/>
      <c r="AI255" s="142"/>
      <c r="AJ255" s="142"/>
    </row>
    <row r="256" ht="13.5" customHeight="1">
      <c r="A256" s="142"/>
      <c r="B256" s="142"/>
      <c r="C256" s="142"/>
      <c r="D256" s="142"/>
      <c r="E256" s="142"/>
      <c r="F256" s="142"/>
      <c r="G256" s="143"/>
      <c r="H256" s="143"/>
      <c r="I256" s="144"/>
      <c r="J256" s="144"/>
      <c r="K256" s="145"/>
      <c r="L256" s="146"/>
      <c r="M256" s="147"/>
      <c r="N256" s="146"/>
      <c r="O256" s="144"/>
      <c r="P256" s="144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  <c r="AA256" s="142"/>
      <c r="AB256" s="142"/>
      <c r="AC256" s="142"/>
      <c r="AD256" s="142"/>
      <c r="AE256" s="142"/>
      <c r="AF256" s="142"/>
      <c r="AG256" s="142"/>
      <c r="AH256" s="142"/>
      <c r="AI256" s="142"/>
      <c r="AJ256" s="142"/>
    </row>
    <row r="257" ht="13.5" customHeight="1">
      <c r="A257" s="142"/>
      <c r="B257" s="142"/>
      <c r="C257" s="142"/>
      <c r="D257" s="142"/>
      <c r="E257" s="142"/>
      <c r="F257" s="142"/>
      <c r="G257" s="143"/>
      <c r="H257" s="143"/>
      <c r="I257" s="144"/>
      <c r="J257" s="144"/>
      <c r="K257" s="145"/>
      <c r="L257" s="146"/>
      <c r="M257" s="147"/>
      <c r="N257" s="146"/>
      <c r="O257" s="144"/>
      <c r="P257" s="144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  <c r="AA257" s="142"/>
      <c r="AB257" s="142"/>
      <c r="AC257" s="142"/>
      <c r="AD257" s="142"/>
      <c r="AE257" s="142"/>
      <c r="AF257" s="142"/>
      <c r="AG257" s="142"/>
      <c r="AH257" s="142"/>
      <c r="AI257" s="142"/>
      <c r="AJ257" s="142"/>
    </row>
    <row r="258" ht="13.5" customHeight="1">
      <c r="A258" s="142"/>
      <c r="B258" s="142"/>
      <c r="C258" s="142"/>
      <c r="D258" s="142"/>
      <c r="E258" s="142"/>
      <c r="F258" s="142"/>
      <c r="G258" s="143"/>
      <c r="H258" s="143"/>
      <c r="I258" s="144"/>
      <c r="J258" s="144"/>
      <c r="K258" s="145"/>
      <c r="L258" s="146"/>
      <c r="M258" s="147"/>
      <c r="N258" s="146"/>
      <c r="O258" s="144"/>
      <c r="P258" s="144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2"/>
      <c r="AI258" s="142"/>
      <c r="AJ258" s="142"/>
    </row>
    <row r="259" ht="13.5" customHeight="1">
      <c r="A259" s="142"/>
      <c r="B259" s="142"/>
      <c r="C259" s="142"/>
      <c r="D259" s="142"/>
      <c r="E259" s="142"/>
      <c r="F259" s="142"/>
      <c r="G259" s="143"/>
      <c r="H259" s="143"/>
      <c r="I259" s="144"/>
      <c r="J259" s="144"/>
      <c r="K259" s="145"/>
      <c r="L259" s="146"/>
      <c r="M259" s="147"/>
      <c r="N259" s="146"/>
      <c r="O259" s="144"/>
      <c r="P259" s="144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  <c r="AA259" s="142"/>
      <c r="AB259" s="142"/>
      <c r="AC259" s="142"/>
      <c r="AD259" s="142"/>
      <c r="AE259" s="142"/>
      <c r="AF259" s="142"/>
      <c r="AG259" s="142"/>
      <c r="AH259" s="142"/>
      <c r="AI259" s="142"/>
      <c r="AJ259" s="142"/>
    </row>
    <row r="260" ht="13.5" customHeight="1">
      <c r="A260" s="142"/>
      <c r="B260" s="142"/>
      <c r="C260" s="142"/>
      <c r="D260" s="142"/>
      <c r="E260" s="142"/>
      <c r="F260" s="142"/>
      <c r="G260" s="143"/>
      <c r="H260" s="143"/>
      <c r="I260" s="144"/>
      <c r="J260" s="144"/>
      <c r="K260" s="145"/>
      <c r="L260" s="146"/>
      <c r="M260" s="147"/>
      <c r="N260" s="146"/>
      <c r="O260" s="144"/>
      <c r="P260" s="144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  <c r="AA260" s="142"/>
      <c r="AB260" s="142"/>
      <c r="AC260" s="142"/>
      <c r="AD260" s="142"/>
      <c r="AE260" s="142"/>
      <c r="AF260" s="142"/>
      <c r="AG260" s="142"/>
      <c r="AH260" s="142"/>
      <c r="AI260" s="142"/>
      <c r="AJ260" s="142"/>
    </row>
    <row r="261" ht="13.5" customHeight="1">
      <c r="A261" s="142"/>
      <c r="B261" s="142"/>
      <c r="C261" s="142"/>
      <c r="D261" s="142"/>
      <c r="E261" s="142"/>
      <c r="F261" s="142"/>
      <c r="G261" s="143"/>
      <c r="H261" s="143"/>
      <c r="I261" s="144"/>
      <c r="J261" s="144"/>
      <c r="K261" s="145"/>
      <c r="L261" s="146"/>
      <c r="M261" s="147"/>
      <c r="N261" s="146"/>
      <c r="O261" s="144"/>
      <c r="P261" s="144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  <c r="AI261" s="142"/>
      <c r="AJ261" s="142"/>
    </row>
    <row r="262" ht="13.5" customHeight="1">
      <c r="A262" s="142"/>
      <c r="B262" s="142"/>
      <c r="C262" s="142"/>
      <c r="D262" s="142"/>
      <c r="E262" s="142"/>
      <c r="F262" s="142"/>
      <c r="G262" s="143"/>
      <c r="H262" s="143"/>
      <c r="I262" s="144"/>
      <c r="J262" s="144"/>
      <c r="K262" s="145"/>
      <c r="L262" s="146"/>
      <c r="M262" s="147"/>
      <c r="N262" s="146"/>
      <c r="O262" s="144"/>
      <c r="P262" s="144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  <c r="AA262" s="142"/>
      <c r="AB262" s="142"/>
      <c r="AC262" s="142"/>
      <c r="AD262" s="142"/>
      <c r="AE262" s="142"/>
      <c r="AF262" s="142"/>
      <c r="AG262" s="142"/>
      <c r="AH262" s="142"/>
      <c r="AI262" s="142"/>
      <c r="AJ262" s="142"/>
    </row>
    <row r="263" ht="13.5" customHeight="1">
      <c r="A263" s="142"/>
      <c r="B263" s="142"/>
      <c r="C263" s="142"/>
      <c r="D263" s="142"/>
      <c r="E263" s="142"/>
      <c r="F263" s="142"/>
      <c r="G263" s="143"/>
      <c r="H263" s="143"/>
      <c r="I263" s="144"/>
      <c r="J263" s="144"/>
      <c r="K263" s="145"/>
      <c r="L263" s="146"/>
      <c r="M263" s="147"/>
      <c r="N263" s="146"/>
      <c r="O263" s="144"/>
      <c r="P263" s="144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2"/>
      <c r="AF263" s="142"/>
      <c r="AG263" s="142"/>
      <c r="AH263" s="142"/>
      <c r="AI263" s="142"/>
      <c r="AJ263" s="142"/>
    </row>
    <row r="264" ht="13.5" customHeight="1">
      <c r="A264" s="142"/>
      <c r="B264" s="142"/>
      <c r="C264" s="142"/>
      <c r="D264" s="142"/>
      <c r="E264" s="142"/>
      <c r="F264" s="142"/>
      <c r="G264" s="143"/>
      <c r="H264" s="143"/>
      <c r="I264" s="144"/>
      <c r="J264" s="144"/>
      <c r="K264" s="145"/>
      <c r="L264" s="146"/>
      <c r="M264" s="147"/>
      <c r="N264" s="146"/>
      <c r="O264" s="144"/>
      <c r="P264" s="144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  <c r="AA264" s="142"/>
      <c r="AB264" s="142"/>
      <c r="AC264" s="142"/>
      <c r="AD264" s="142"/>
      <c r="AE264" s="142"/>
      <c r="AF264" s="142"/>
      <c r="AG264" s="142"/>
      <c r="AH264" s="142"/>
      <c r="AI264" s="142"/>
      <c r="AJ264" s="142"/>
    </row>
    <row r="265" ht="13.5" customHeight="1">
      <c r="A265" s="142"/>
      <c r="B265" s="142"/>
      <c r="C265" s="142"/>
      <c r="D265" s="142"/>
      <c r="E265" s="142"/>
      <c r="F265" s="142"/>
      <c r="G265" s="143"/>
      <c r="H265" s="143"/>
      <c r="I265" s="144"/>
      <c r="J265" s="144"/>
      <c r="K265" s="145"/>
      <c r="L265" s="146"/>
      <c r="M265" s="147"/>
      <c r="N265" s="146"/>
      <c r="O265" s="144"/>
      <c r="P265" s="144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  <c r="AA265" s="142"/>
      <c r="AB265" s="142"/>
      <c r="AC265" s="142"/>
      <c r="AD265" s="142"/>
      <c r="AE265" s="142"/>
      <c r="AF265" s="142"/>
      <c r="AG265" s="142"/>
      <c r="AH265" s="142"/>
      <c r="AI265" s="142"/>
      <c r="AJ265" s="142"/>
    </row>
    <row r="266" ht="13.5" customHeight="1">
      <c r="A266" s="142"/>
      <c r="B266" s="142"/>
      <c r="C266" s="142"/>
      <c r="D266" s="142"/>
      <c r="E266" s="142"/>
      <c r="F266" s="142"/>
      <c r="G266" s="143"/>
      <c r="H266" s="143"/>
      <c r="I266" s="144"/>
      <c r="J266" s="144"/>
      <c r="K266" s="145"/>
      <c r="L266" s="146"/>
      <c r="M266" s="147"/>
      <c r="N266" s="146"/>
      <c r="O266" s="144"/>
      <c r="P266" s="144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  <c r="AA266" s="142"/>
      <c r="AB266" s="142"/>
      <c r="AC266" s="142"/>
      <c r="AD266" s="142"/>
      <c r="AE266" s="142"/>
      <c r="AF266" s="142"/>
      <c r="AG266" s="142"/>
      <c r="AH266" s="142"/>
      <c r="AI266" s="142"/>
      <c r="AJ266" s="142"/>
    </row>
    <row r="267" ht="13.5" customHeight="1">
      <c r="A267" s="142"/>
      <c r="B267" s="142"/>
      <c r="C267" s="142"/>
      <c r="D267" s="142"/>
      <c r="E267" s="142"/>
      <c r="F267" s="142"/>
      <c r="G267" s="143"/>
      <c r="H267" s="143"/>
      <c r="I267" s="144"/>
      <c r="J267" s="144"/>
      <c r="K267" s="145"/>
      <c r="L267" s="146"/>
      <c r="M267" s="147"/>
      <c r="N267" s="146"/>
      <c r="O267" s="144"/>
      <c r="P267" s="144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  <c r="AA267" s="142"/>
      <c r="AB267" s="142"/>
      <c r="AC267" s="142"/>
      <c r="AD267" s="142"/>
      <c r="AE267" s="142"/>
      <c r="AF267" s="142"/>
      <c r="AG267" s="142"/>
      <c r="AH267" s="142"/>
      <c r="AI267" s="142"/>
      <c r="AJ267" s="142"/>
    </row>
    <row r="268" ht="13.5" customHeight="1">
      <c r="A268" s="142"/>
      <c r="B268" s="142"/>
      <c r="C268" s="142"/>
      <c r="D268" s="142"/>
      <c r="E268" s="142"/>
      <c r="F268" s="142"/>
      <c r="G268" s="143"/>
      <c r="H268" s="143"/>
      <c r="I268" s="144"/>
      <c r="J268" s="144"/>
      <c r="K268" s="145"/>
      <c r="L268" s="146"/>
      <c r="M268" s="147"/>
      <c r="N268" s="146"/>
      <c r="O268" s="144"/>
      <c r="P268" s="144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  <c r="AA268" s="142"/>
      <c r="AB268" s="142"/>
      <c r="AC268" s="142"/>
      <c r="AD268" s="142"/>
      <c r="AE268" s="142"/>
      <c r="AF268" s="142"/>
      <c r="AG268" s="142"/>
      <c r="AH268" s="142"/>
      <c r="AI268" s="142"/>
      <c r="AJ268" s="142"/>
    </row>
    <row r="269" ht="13.5" customHeight="1">
      <c r="A269" s="142"/>
      <c r="B269" s="142"/>
      <c r="C269" s="142"/>
      <c r="D269" s="142"/>
      <c r="E269" s="142"/>
      <c r="F269" s="142"/>
      <c r="G269" s="143"/>
      <c r="H269" s="143"/>
      <c r="I269" s="144"/>
      <c r="J269" s="144"/>
      <c r="K269" s="145"/>
      <c r="L269" s="146"/>
      <c r="M269" s="147"/>
      <c r="N269" s="146"/>
      <c r="O269" s="144"/>
      <c r="P269" s="144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  <c r="AA269" s="142"/>
      <c r="AB269" s="142"/>
      <c r="AC269" s="142"/>
      <c r="AD269" s="142"/>
      <c r="AE269" s="142"/>
      <c r="AF269" s="142"/>
      <c r="AG269" s="142"/>
      <c r="AH269" s="142"/>
      <c r="AI269" s="142"/>
      <c r="AJ269" s="142"/>
    </row>
    <row r="270" ht="13.5" customHeight="1">
      <c r="A270" s="142"/>
      <c r="B270" s="142"/>
      <c r="C270" s="142"/>
      <c r="D270" s="142"/>
      <c r="E270" s="142"/>
      <c r="F270" s="142"/>
      <c r="G270" s="143"/>
      <c r="H270" s="143"/>
      <c r="I270" s="144"/>
      <c r="J270" s="144"/>
      <c r="K270" s="145"/>
      <c r="L270" s="146"/>
      <c r="M270" s="147"/>
      <c r="N270" s="146"/>
      <c r="O270" s="144"/>
      <c r="P270" s="144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  <c r="AA270" s="142"/>
      <c r="AB270" s="142"/>
      <c r="AC270" s="142"/>
      <c r="AD270" s="142"/>
      <c r="AE270" s="142"/>
      <c r="AF270" s="142"/>
      <c r="AG270" s="142"/>
      <c r="AH270" s="142"/>
      <c r="AI270" s="142"/>
      <c r="AJ270" s="142"/>
    </row>
    <row r="271" ht="13.5" customHeight="1">
      <c r="A271" s="142"/>
      <c r="B271" s="142"/>
      <c r="C271" s="142"/>
      <c r="D271" s="142"/>
      <c r="E271" s="142"/>
      <c r="F271" s="142"/>
      <c r="G271" s="143"/>
      <c r="H271" s="143"/>
      <c r="I271" s="144"/>
      <c r="J271" s="144"/>
      <c r="K271" s="145"/>
      <c r="L271" s="146"/>
      <c r="M271" s="147"/>
      <c r="N271" s="146"/>
      <c r="O271" s="144"/>
      <c r="P271" s="144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  <c r="AA271" s="142"/>
      <c r="AB271" s="142"/>
      <c r="AC271" s="142"/>
      <c r="AD271" s="142"/>
      <c r="AE271" s="142"/>
      <c r="AF271" s="142"/>
      <c r="AG271" s="142"/>
      <c r="AH271" s="142"/>
      <c r="AI271" s="142"/>
      <c r="AJ271" s="142"/>
    </row>
    <row r="272" ht="13.5" customHeight="1">
      <c r="A272" s="142"/>
      <c r="B272" s="142"/>
      <c r="C272" s="142"/>
      <c r="D272" s="142"/>
      <c r="E272" s="142"/>
      <c r="F272" s="142"/>
      <c r="G272" s="143"/>
      <c r="H272" s="143"/>
      <c r="I272" s="144"/>
      <c r="J272" s="144"/>
      <c r="K272" s="145"/>
      <c r="L272" s="146"/>
      <c r="M272" s="147"/>
      <c r="N272" s="146"/>
      <c r="O272" s="144"/>
      <c r="P272" s="144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  <c r="AA272" s="142"/>
      <c r="AB272" s="142"/>
      <c r="AC272" s="142"/>
      <c r="AD272" s="142"/>
      <c r="AE272" s="142"/>
      <c r="AF272" s="142"/>
      <c r="AG272" s="142"/>
      <c r="AH272" s="142"/>
      <c r="AI272" s="142"/>
      <c r="AJ272" s="142"/>
    </row>
    <row r="273" ht="13.5" customHeight="1">
      <c r="A273" s="142"/>
      <c r="B273" s="142"/>
      <c r="C273" s="142"/>
      <c r="D273" s="142"/>
      <c r="E273" s="142"/>
      <c r="F273" s="142"/>
      <c r="G273" s="143"/>
      <c r="H273" s="143"/>
      <c r="I273" s="144"/>
      <c r="J273" s="144"/>
      <c r="K273" s="145"/>
      <c r="L273" s="146"/>
      <c r="M273" s="147"/>
      <c r="N273" s="146"/>
      <c r="O273" s="144"/>
      <c r="P273" s="144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  <c r="AA273" s="142"/>
      <c r="AB273" s="142"/>
      <c r="AC273" s="142"/>
      <c r="AD273" s="142"/>
      <c r="AE273" s="142"/>
      <c r="AF273" s="142"/>
      <c r="AG273" s="142"/>
      <c r="AH273" s="142"/>
      <c r="AI273" s="142"/>
      <c r="AJ273" s="142"/>
    </row>
    <row r="274" ht="13.5" customHeight="1">
      <c r="A274" s="142"/>
      <c r="B274" s="142"/>
      <c r="C274" s="142"/>
      <c r="D274" s="142"/>
      <c r="E274" s="142"/>
      <c r="F274" s="142"/>
      <c r="G274" s="143"/>
      <c r="H274" s="143"/>
      <c r="I274" s="144"/>
      <c r="J274" s="144"/>
      <c r="K274" s="145"/>
      <c r="L274" s="146"/>
      <c r="M274" s="147"/>
      <c r="N274" s="146"/>
      <c r="O274" s="144"/>
      <c r="P274" s="144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  <c r="AA274" s="142"/>
      <c r="AB274" s="142"/>
      <c r="AC274" s="142"/>
      <c r="AD274" s="142"/>
      <c r="AE274" s="142"/>
      <c r="AF274" s="142"/>
      <c r="AG274" s="142"/>
      <c r="AH274" s="142"/>
      <c r="AI274" s="142"/>
      <c r="AJ274" s="142"/>
    </row>
    <row r="275" ht="13.5" customHeight="1">
      <c r="A275" s="142"/>
      <c r="B275" s="142"/>
      <c r="C275" s="142"/>
      <c r="D275" s="142"/>
      <c r="E275" s="142"/>
      <c r="F275" s="142"/>
      <c r="G275" s="143"/>
      <c r="H275" s="143"/>
      <c r="I275" s="144"/>
      <c r="J275" s="144"/>
      <c r="K275" s="145"/>
      <c r="L275" s="146"/>
      <c r="M275" s="147"/>
      <c r="N275" s="146"/>
      <c r="O275" s="144"/>
      <c r="P275" s="144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  <c r="AA275" s="142"/>
      <c r="AB275" s="142"/>
      <c r="AC275" s="142"/>
      <c r="AD275" s="142"/>
      <c r="AE275" s="142"/>
      <c r="AF275" s="142"/>
      <c r="AG275" s="142"/>
      <c r="AH275" s="142"/>
      <c r="AI275" s="142"/>
      <c r="AJ275" s="142"/>
    </row>
    <row r="276" ht="13.5" customHeight="1">
      <c r="A276" s="142"/>
      <c r="B276" s="142"/>
      <c r="C276" s="142"/>
      <c r="D276" s="142"/>
      <c r="E276" s="142"/>
      <c r="F276" s="142"/>
      <c r="G276" s="143"/>
      <c r="H276" s="143"/>
      <c r="I276" s="144"/>
      <c r="J276" s="144"/>
      <c r="K276" s="145"/>
      <c r="L276" s="146"/>
      <c r="M276" s="147"/>
      <c r="N276" s="146"/>
      <c r="O276" s="144"/>
      <c r="P276" s="144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  <c r="AA276" s="142"/>
      <c r="AB276" s="142"/>
      <c r="AC276" s="142"/>
      <c r="AD276" s="142"/>
      <c r="AE276" s="142"/>
      <c r="AF276" s="142"/>
      <c r="AG276" s="142"/>
      <c r="AH276" s="142"/>
      <c r="AI276" s="142"/>
      <c r="AJ276" s="142"/>
    </row>
    <row r="277" ht="13.5" customHeight="1">
      <c r="A277" s="142"/>
      <c r="B277" s="142"/>
      <c r="C277" s="142"/>
      <c r="D277" s="142"/>
      <c r="E277" s="142"/>
      <c r="F277" s="142"/>
      <c r="G277" s="143"/>
      <c r="H277" s="143"/>
      <c r="I277" s="144"/>
      <c r="J277" s="144"/>
      <c r="K277" s="145"/>
      <c r="L277" s="146"/>
      <c r="M277" s="147"/>
      <c r="N277" s="146"/>
      <c r="O277" s="144"/>
      <c r="P277" s="144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  <c r="AA277" s="142"/>
      <c r="AB277" s="142"/>
      <c r="AC277" s="142"/>
      <c r="AD277" s="142"/>
      <c r="AE277" s="142"/>
      <c r="AF277" s="142"/>
      <c r="AG277" s="142"/>
      <c r="AH277" s="142"/>
      <c r="AI277" s="142"/>
      <c r="AJ277" s="142"/>
    </row>
    <row r="278" ht="13.5" customHeight="1">
      <c r="A278" s="142"/>
      <c r="B278" s="142"/>
      <c r="C278" s="142"/>
      <c r="D278" s="142"/>
      <c r="E278" s="142"/>
      <c r="F278" s="142"/>
      <c r="G278" s="143"/>
      <c r="H278" s="143"/>
      <c r="I278" s="144"/>
      <c r="J278" s="144"/>
      <c r="K278" s="145"/>
      <c r="L278" s="146"/>
      <c r="M278" s="147"/>
      <c r="N278" s="146"/>
      <c r="O278" s="144"/>
      <c r="P278" s="144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  <c r="AA278" s="142"/>
      <c r="AB278" s="142"/>
      <c r="AC278" s="142"/>
      <c r="AD278" s="142"/>
      <c r="AE278" s="142"/>
      <c r="AF278" s="142"/>
      <c r="AG278" s="142"/>
      <c r="AH278" s="142"/>
      <c r="AI278" s="142"/>
      <c r="AJ278" s="142"/>
    </row>
    <row r="279" ht="13.5" customHeight="1">
      <c r="A279" s="142"/>
      <c r="B279" s="142"/>
      <c r="C279" s="142"/>
      <c r="D279" s="142"/>
      <c r="E279" s="142"/>
      <c r="F279" s="142"/>
      <c r="G279" s="143"/>
      <c r="H279" s="143"/>
      <c r="I279" s="144"/>
      <c r="J279" s="144"/>
      <c r="K279" s="145"/>
      <c r="L279" s="146"/>
      <c r="M279" s="147"/>
      <c r="N279" s="146"/>
      <c r="O279" s="144"/>
      <c r="P279" s="144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  <c r="AA279" s="142"/>
      <c r="AB279" s="142"/>
      <c r="AC279" s="142"/>
      <c r="AD279" s="142"/>
      <c r="AE279" s="142"/>
      <c r="AF279" s="142"/>
      <c r="AG279" s="142"/>
      <c r="AH279" s="142"/>
      <c r="AI279" s="142"/>
      <c r="AJ279" s="142"/>
    </row>
    <row r="280" ht="13.5" customHeight="1">
      <c r="A280" s="142"/>
      <c r="B280" s="142"/>
      <c r="C280" s="142"/>
      <c r="D280" s="142"/>
      <c r="E280" s="142"/>
      <c r="F280" s="142"/>
      <c r="G280" s="143"/>
      <c r="H280" s="143"/>
      <c r="I280" s="144"/>
      <c r="J280" s="144"/>
      <c r="K280" s="145"/>
      <c r="L280" s="146"/>
      <c r="M280" s="147"/>
      <c r="N280" s="146"/>
      <c r="O280" s="144"/>
      <c r="P280" s="144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  <c r="AA280" s="142"/>
      <c r="AB280" s="142"/>
      <c r="AC280" s="142"/>
      <c r="AD280" s="142"/>
      <c r="AE280" s="142"/>
      <c r="AF280" s="142"/>
      <c r="AG280" s="142"/>
      <c r="AH280" s="142"/>
      <c r="AI280" s="142"/>
      <c r="AJ280" s="142"/>
    </row>
    <row r="281" ht="13.5" customHeight="1">
      <c r="A281" s="142"/>
      <c r="B281" s="142"/>
      <c r="C281" s="142"/>
      <c r="D281" s="142"/>
      <c r="E281" s="142"/>
      <c r="F281" s="142"/>
      <c r="G281" s="143"/>
      <c r="H281" s="143"/>
      <c r="I281" s="144"/>
      <c r="J281" s="144"/>
      <c r="K281" s="145"/>
      <c r="L281" s="146"/>
      <c r="M281" s="147"/>
      <c r="N281" s="146"/>
      <c r="O281" s="144"/>
      <c r="P281" s="144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  <c r="AA281" s="142"/>
      <c r="AB281" s="142"/>
      <c r="AC281" s="142"/>
      <c r="AD281" s="142"/>
      <c r="AE281" s="142"/>
      <c r="AF281" s="142"/>
      <c r="AG281" s="142"/>
      <c r="AH281" s="142"/>
      <c r="AI281" s="142"/>
      <c r="AJ281" s="142"/>
    </row>
    <row r="282" ht="13.5" customHeight="1">
      <c r="A282" s="142"/>
      <c r="B282" s="142"/>
      <c r="C282" s="142"/>
      <c r="D282" s="142"/>
      <c r="E282" s="142"/>
      <c r="F282" s="142"/>
      <c r="G282" s="143"/>
      <c r="H282" s="143"/>
      <c r="I282" s="144"/>
      <c r="J282" s="144"/>
      <c r="K282" s="145"/>
      <c r="L282" s="146"/>
      <c r="M282" s="147"/>
      <c r="N282" s="146"/>
      <c r="O282" s="144"/>
      <c r="P282" s="144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  <c r="AA282" s="142"/>
      <c r="AB282" s="142"/>
      <c r="AC282" s="142"/>
      <c r="AD282" s="142"/>
      <c r="AE282" s="142"/>
      <c r="AF282" s="142"/>
      <c r="AG282" s="142"/>
      <c r="AH282" s="142"/>
      <c r="AI282" s="142"/>
      <c r="AJ282" s="142"/>
    </row>
    <row r="283" ht="13.5" customHeight="1">
      <c r="A283" s="142"/>
      <c r="B283" s="142"/>
      <c r="C283" s="142"/>
      <c r="D283" s="142"/>
      <c r="E283" s="142"/>
      <c r="F283" s="142"/>
      <c r="G283" s="143"/>
      <c r="H283" s="143"/>
      <c r="I283" s="144"/>
      <c r="J283" s="144"/>
      <c r="K283" s="145"/>
      <c r="L283" s="146"/>
      <c r="M283" s="147"/>
      <c r="N283" s="146"/>
      <c r="O283" s="144"/>
      <c r="P283" s="144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  <c r="AA283" s="142"/>
      <c r="AB283" s="142"/>
      <c r="AC283" s="142"/>
      <c r="AD283" s="142"/>
      <c r="AE283" s="142"/>
      <c r="AF283" s="142"/>
      <c r="AG283" s="142"/>
      <c r="AH283" s="142"/>
      <c r="AI283" s="142"/>
      <c r="AJ283" s="142"/>
    </row>
    <row r="284" ht="13.5" customHeight="1">
      <c r="A284" s="142"/>
      <c r="B284" s="142"/>
      <c r="C284" s="142"/>
      <c r="D284" s="142"/>
      <c r="E284" s="142"/>
      <c r="F284" s="142"/>
      <c r="G284" s="143"/>
      <c r="H284" s="143"/>
      <c r="I284" s="144"/>
      <c r="J284" s="144"/>
      <c r="K284" s="145"/>
      <c r="L284" s="146"/>
      <c r="M284" s="147"/>
      <c r="N284" s="146"/>
      <c r="O284" s="144"/>
      <c r="P284" s="144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  <c r="AA284" s="142"/>
      <c r="AB284" s="142"/>
      <c r="AC284" s="142"/>
      <c r="AD284" s="142"/>
      <c r="AE284" s="142"/>
      <c r="AF284" s="142"/>
      <c r="AG284" s="142"/>
      <c r="AH284" s="142"/>
      <c r="AI284" s="142"/>
      <c r="AJ284" s="142"/>
    </row>
    <row r="285" ht="13.5" customHeight="1">
      <c r="A285" s="142"/>
      <c r="B285" s="142"/>
      <c r="C285" s="142"/>
      <c r="D285" s="142"/>
      <c r="E285" s="142"/>
      <c r="F285" s="142"/>
      <c r="G285" s="143"/>
      <c r="H285" s="143"/>
      <c r="I285" s="144"/>
      <c r="J285" s="144"/>
      <c r="K285" s="145"/>
      <c r="L285" s="146"/>
      <c r="M285" s="147"/>
      <c r="N285" s="146"/>
      <c r="O285" s="144"/>
      <c r="P285" s="144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  <c r="AA285" s="142"/>
      <c r="AB285" s="142"/>
      <c r="AC285" s="142"/>
      <c r="AD285" s="142"/>
      <c r="AE285" s="142"/>
      <c r="AF285" s="142"/>
      <c r="AG285" s="142"/>
      <c r="AH285" s="142"/>
      <c r="AI285" s="142"/>
      <c r="AJ285" s="142"/>
    </row>
    <row r="286" ht="13.5" customHeight="1">
      <c r="A286" s="142"/>
      <c r="B286" s="142"/>
      <c r="C286" s="142"/>
      <c r="D286" s="142"/>
      <c r="E286" s="142"/>
      <c r="F286" s="142"/>
      <c r="G286" s="143"/>
      <c r="H286" s="143"/>
      <c r="I286" s="144"/>
      <c r="J286" s="144"/>
      <c r="K286" s="145"/>
      <c r="L286" s="146"/>
      <c r="M286" s="147"/>
      <c r="N286" s="146"/>
      <c r="O286" s="144"/>
      <c r="P286" s="144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  <c r="AA286" s="142"/>
      <c r="AB286" s="142"/>
      <c r="AC286" s="142"/>
      <c r="AD286" s="142"/>
      <c r="AE286" s="142"/>
      <c r="AF286" s="142"/>
      <c r="AG286" s="142"/>
      <c r="AH286" s="142"/>
      <c r="AI286" s="142"/>
      <c r="AJ286" s="142"/>
    </row>
    <row r="287" ht="13.5" customHeight="1">
      <c r="A287" s="142"/>
      <c r="B287" s="142"/>
      <c r="C287" s="142"/>
      <c r="D287" s="142"/>
      <c r="E287" s="142"/>
      <c r="F287" s="142"/>
      <c r="G287" s="143"/>
      <c r="H287" s="143"/>
      <c r="I287" s="144"/>
      <c r="J287" s="144"/>
      <c r="K287" s="145"/>
      <c r="L287" s="146"/>
      <c r="M287" s="147"/>
      <c r="N287" s="146"/>
      <c r="O287" s="144"/>
      <c r="P287" s="144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  <c r="AA287" s="142"/>
      <c r="AB287" s="142"/>
      <c r="AC287" s="142"/>
      <c r="AD287" s="142"/>
      <c r="AE287" s="142"/>
      <c r="AF287" s="142"/>
      <c r="AG287" s="142"/>
      <c r="AH287" s="142"/>
      <c r="AI287" s="142"/>
      <c r="AJ287" s="142"/>
    </row>
    <row r="288" ht="13.5" customHeight="1">
      <c r="A288" s="142"/>
      <c r="B288" s="142"/>
      <c r="C288" s="142"/>
      <c r="D288" s="142"/>
      <c r="E288" s="142"/>
      <c r="F288" s="142"/>
      <c r="G288" s="143"/>
      <c r="H288" s="143"/>
      <c r="I288" s="144"/>
      <c r="J288" s="144"/>
      <c r="K288" s="145"/>
      <c r="L288" s="146"/>
      <c r="M288" s="147"/>
      <c r="N288" s="146"/>
      <c r="O288" s="144"/>
      <c r="P288" s="144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  <c r="AA288" s="142"/>
      <c r="AB288" s="142"/>
      <c r="AC288" s="142"/>
      <c r="AD288" s="142"/>
      <c r="AE288" s="142"/>
      <c r="AF288" s="142"/>
      <c r="AG288" s="142"/>
      <c r="AH288" s="142"/>
      <c r="AI288" s="142"/>
      <c r="AJ288" s="142"/>
    </row>
    <row r="289" ht="13.5" customHeight="1">
      <c r="A289" s="142"/>
      <c r="B289" s="142"/>
      <c r="C289" s="142"/>
      <c r="D289" s="142"/>
      <c r="E289" s="142"/>
      <c r="F289" s="142"/>
      <c r="G289" s="143"/>
      <c r="H289" s="143"/>
      <c r="I289" s="144"/>
      <c r="J289" s="144"/>
      <c r="K289" s="145"/>
      <c r="L289" s="146"/>
      <c r="M289" s="147"/>
      <c r="N289" s="146"/>
      <c r="O289" s="144"/>
      <c r="P289" s="144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  <c r="AA289" s="142"/>
      <c r="AB289" s="142"/>
      <c r="AC289" s="142"/>
      <c r="AD289" s="142"/>
      <c r="AE289" s="142"/>
      <c r="AF289" s="142"/>
      <c r="AG289" s="142"/>
      <c r="AH289" s="142"/>
      <c r="AI289" s="142"/>
      <c r="AJ289" s="142"/>
    </row>
    <row r="290" ht="13.5" customHeight="1">
      <c r="A290" s="142"/>
      <c r="B290" s="142"/>
      <c r="C290" s="142"/>
      <c r="D290" s="142"/>
      <c r="E290" s="142"/>
      <c r="F290" s="142"/>
      <c r="G290" s="143"/>
      <c r="H290" s="143"/>
      <c r="I290" s="144"/>
      <c r="J290" s="144"/>
      <c r="K290" s="145"/>
      <c r="L290" s="146"/>
      <c r="M290" s="147"/>
      <c r="N290" s="146"/>
      <c r="O290" s="144"/>
      <c r="P290" s="144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  <c r="AA290" s="142"/>
      <c r="AB290" s="142"/>
      <c r="AC290" s="142"/>
      <c r="AD290" s="142"/>
      <c r="AE290" s="142"/>
      <c r="AF290" s="142"/>
      <c r="AG290" s="142"/>
      <c r="AH290" s="142"/>
      <c r="AI290" s="142"/>
      <c r="AJ290" s="142"/>
    </row>
    <row r="291" ht="13.5" customHeight="1">
      <c r="A291" s="142"/>
      <c r="B291" s="142"/>
      <c r="C291" s="142"/>
      <c r="D291" s="142"/>
      <c r="E291" s="142"/>
      <c r="F291" s="142"/>
      <c r="G291" s="143"/>
      <c r="H291" s="143"/>
      <c r="I291" s="144"/>
      <c r="J291" s="144"/>
      <c r="K291" s="145"/>
      <c r="L291" s="146"/>
      <c r="M291" s="147"/>
      <c r="N291" s="146"/>
      <c r="O291" s="144"/>
      <c r="P291" s="144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  <c r="AA291" s="142"/>
      <c r="AB291" s="142"/>
      <c r="AC291" s="142"/>
      <c r="AD291" s="142"/>
      <c r="AE291" s="142"/>
      <c r="AF291" s="142"/>
      <c r="AG291" s="142"/>
      <c r="AH291" s="142"/>
      <c r="AI291" s="142"/>
      <c r="AJ291" s="142"/>
    </row>
    <row r="292" ht="13.5" customHeight="1">
      <c r="A292" s="142"/>
      <c r="B292" s="142"/>
      <c r="C292" s="142"/>
      <c r="D292" s="142"/>
      <c r="E292" s="142"/>
      <c r="F292" s="142"/>
      <c r="G292" s="143"/>
      <c r="H292" s="143"/>
      <c r="I292" s="144"/>
      <c r="J292" s="144"/>
      <c r="K292" s="145"/>
      <c r="L292" s="146"/>
      <c r="M292" s="147"/>
      <c r="N292" s="146"/>
      <c r="O292" s="144"/>
      <c r="P292" s="144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  <c r="AA292" s="142"/>
      <c r="AB292" s="142"/>
      <c r="AC292" s="142"/>
      <c r="AD292" s="142"/>
      <c r="AE292" s="142"/>
      <c r="AF292" s="142"/>
      <c r="AG292" s="142"/>
      <c r="AH292" s="142"/>
      <c r="AI292" s="142"/>
      <c r="AJ292" s="142"/>
    </row>
    <row r="293" ht="13.5" customHeight="1">
      <c r="A293" s="142"/>
      <c r="B293" s="142"/>
      <c r="C293" s="142"/>
      <c r="D293" s="142"/>
      <c r="E293" s="142"/>
      <c r="F293" s="142"/>
      <c r="G293" s="143"/>
      <c r="H293" s="143"/>
      <c r="I293" s="144"/>
      <c r="J293" s="144"/>
      <c r="K293" s="145"/>
      <c r="L293" s="146"/>
      <c r="M293" s="147"/>
      <c r="N293" s="146"/>
      <c r="O293" s="144"/>
      <c r="P293" s="144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  <c r="AA293" s="142"/>
      <c r="AB293" s="142"/>
      <c r="AC293" s="142"/>
      <c r="AD293" s="142"/>
      <c r="AE293" s="142"/>
      <c r="AF293" s="142"/>
      <c r="AG293" s="142"/>
      <c r="AH293" s="142"/>
      <c r="AI293" s="142"/>
      <c r="AJ293" s="142"/>
    </row>
    <row r="294" ht="13.5" customHeight="1">
      <c r="A294" s="142"/>
      <c r="B294" s="142"/>
      <c r="C294" s="142"/>
      <c r="D294" s="142"/>
      <c r="E294" s="142"/>
      <c r="F294" s="142"/>
      <c r="G294" s="143"/>
      <c r="H294" s="143"/>
      <c r="I294" s="144"/>
      <c r="J294" s="144"/>
      <c r="K294" s="145"/>
      <c r="L294" s="146"/>
      <c r="M294" s="147"/>
      <c r="N294" s="146"/>
      <c r="O294" s="144"/>
      <c r="P294" s="144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  <c r="AA294" s="142"/>
      <c r="AB294" s="142"/>
      <c r="AC294" s="142"/>
      <c r="AD294" s="142"/>
      <c r="AE294" s="142"/>
      <c r="AF294" s="142"/>
      <c r="AG294" s="142"/>
      <c r="AH294" s="142"/>
      <c r="AI294" s="142"/>
      <c r="AJ294" s="142"/>
    </row>
    <row r="295" ht="13.5" customHeight="1">
      <c r="A295" s="142"/>
      <c r="B295" s="142"/>
      <c r="C295" s="142"/>
      <c r="D295" s="142"/>
      <c r="E295" s="142"/>
      <c r="F295" s="142"/>
      <c r="G295" s="143"/>
      <c r="H295" s="143"/>
      <c r="I295" s="144"/>
      <c r="J295" s="144"/>
      <c r="K295" s="145"/>
      <c r="L295" s="146"/>
      <c r="M295" s="147"/>
      <c r="N295" s="146"/>
      <c r="O295" s="144"/>
      <c r="P295" s="144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  <c r="AA295" s="142"/>
      <c r="AB295" s="142"/>
      <c r="AC295" s="142"/>
      <c r="AD295" s="142"/>
      <c r="AE295" s="142"/>
      <c r="AF295" s="142"/>
      <c r="AG295" s="142"/>
      <c r="AH295" s="142"/>
      <c r="AI295" s="142"/>
      <c r="AJ295" s="142"/>
    </row>
    <row r="296" ht="13.5" customHeight="1">
      <c r="A296" s="142"/>
      <c r="B296" s="142"/>
      <c r="C296" s="142"/>
      <c r="D296" s="142"/>
      <c r="E296" s="142"/>
      <c r="F296" s="142"/>
      <c r="G296" s="143"/>
      <c r="H296" s="143"/>
      <c r="I296" s="144"/>
      <c r="J296" s="144"/>
      <c r="K296" s="145"/>
      <c r="L296" s="146"/>
      <c r="M296" s="147"/>
      <c r="N296" s="146"/>
      <c r="O296" s="144"/>
      <c r="P296" s="144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  <c r="AA296" s="142"/>
      <c r="AB296" s="142"/>
      <c r="AC296" s="142"/>
      <c r="AD296" s="142"/>
      <c r="AE296" s="142"/>
      <c r="AF296" s="142"/>
      <c r="AG296" s="142"/>
      <c r="AH296" s="142"/>
      <c r="AI296" s="142"/>
      <c r="AJ296" s="142"/>
    </row>
    <row r="297" ht="13.5" customHeight="1">
      <c r="A297" s="142"/>
      <c r="B297" s="142"/>
      <c r="C297" s="142"/>
      <c r="D297" s="142"/>
      <c r="E297" s="142"/>
      <c r="F297" s="142"/>
      <c r="G297" s="143"/>
      <c r="H297" s="143"/>
      <c r="I297" s="144"/>
      <c r="J297" s="144"/>
      <c r="K297" s="145"/>
      <c r="L297" s="146"/>
      <c r="M297" s="147"/>
      <c r="N297" s="146"/>
      <c r="O297" s="144"/>
      <c r="P297" s="144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  <c r="AA297" s="142"/>
      <c r="AB297" s="142"/>
      <c r="AC297" s="142"/>
      <c r="AD297" s="142"/>
      <c r="AE297" s="142"/>
      <c r="AF297" s="142"/>
      <c r="AG297" s="142"/>
      <c r="AH297" s="142"/>
      <c r="AI297" s="142"/>
      <c r="AJ297" s="142"/>
    </row>
    <row r="298" ht="13.5" customHeight="1">
      <c r="A298" s="142"/>
      <c r="B298" s="142"/>
      <c r="C298" s="142"/>
      <c r="D298" s="142"/>
      <c r="E298" s="142"/>
      <c r="F298" s="142"/>
      <c r="G298" s="143"/>
      <c r="H298" s="143"/>
      <c r="I298" s="144"/>
      <c r="J298" s="144"/>
      <c r="K298" s="145"/>
      <c r="L298" s="146"/>
      <c r="M298" s="147"/>
      <c r="N298" s="146"/>
      <c r="O298" s="144"/>
      <c r="P298" s="144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  <c r="AA298" s="142"/>
      <c r="AB298" s="142"/>
      <c r="AC298" s="142"/>
      <c r="AD298" s="142"/>
      <c r="AE298" s="142"/>
      <c r="AF298" s="142"/>
      <c r="AG298" s="142"/>
      <c r="AH298" s="142"/>
      <c r="AI298" s="142"/>
      <c r="AJ298" s="142"/>
    </row>
    <row r="299" ht="13.5" customHeight="1">
      <c r="A299" s="142"/>
      <c r="B299" s="142"/>
      <c r="C299" s="142"/>
      <c r="D299" s="142"/>
      <c r="E299" s="142"/>
      <c r="F299" s="142"/>
      <c r="G299" s="143"/>
      <c r="H299" s="143"/>
      <c r="I299" s="144"/>
      <c r="J299" s="144"/>
      <c r="K299" s="145"/>
      <c r="L299" s="146"/>
      <c r="M299" s="147"/>
      <c r="N299" s="146"/>
      <c r="O299" s="144"/>
      <c r="P299" s="144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  <c r="AA299" s="142"/>
      <c r="AB299" s="142"/>
      <c r="AC299" s="142"/>
      <c r="AD299" s="142"/>
      <c r="AE299" s="142"/>
      <c r="AF299" s="142"/>
      <c r="AG299" s="142"/>
      <c r="AH299" s="142"/>
      <c r="AI299" s="142"/>
      <c r="AJ299" s="142"/>
    </row>
    <row r="300" ht="13.5" customHeight="1">
      <c r="A300" s="142"/>
      <c r="B300" s="142"/>
      <c r="C300" s="142"/>
      <c r="D300" s="142"/>
      <c r="E300" s="142"/>
      <c r="F300" s="142"/>
      <c r="G300" s="143"/>
      <c r="H300" s="143"/>
      <c r="I300" s="144"/>
      <c r="J300" s="144"/>
      <c r="K300" s="145"/>
      <c r="L300" s="146"/>
      <c r="M300" s="147"/>
      <c r="N300" s="146"/>
      <c r="O300" s="144"/>
      <c r="P300" s="144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  <c r="AA300" s="142"/>
      <c r="AB300" s="142"/>
      <c r="AC300" s="142"/>
      <c r="AD300" s="142"/>
      <c r="AE300" s="142"/>
      <c r="AF300" s="142"/>
      <c r="AG300" s="142"/>
      <c r="AH300" s="142"/>
      <c r="AI300" s="142"/>
      <c r="AJ300" s="142"/>
    </row>
    <row r="301" ht="13.5" customHeight="1">
      <c r="A301" s="142"/>
      <c r="B301" s="142"/>
      <c r="C301" s="142"/>
      <c r="D301" s="142"/>
      <c r="E301" s="142"/>
      <c r="F301" s="142"/>
      <c r="G301" s="143"/>
      <c r="H301" s="143"/>
      <c r="I301" s="144"/>
      <c r="J301" s="144"/>
      <c r="K301" s="145"/>
      <c r="L301" s="146"/>
      <c r="M301" s="147"/>
      <c r="N301" s="146"/>
      <c r="O301" s="144"/>
      <c r="P301" s="144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  <c r="AA301" s="142"/>
      <c r="AB301" s="142"/>
      <c r="AC301" s="142"/>
      <c r="AD301" s="142"/>
      <c r="AE301" s="142"/>
      <c r="AF301" s="142"/>
      <c r="AG301" s="142"/>
      <c r="AH301" s="142"/>
      <c r="AI301" s="142"/>
      <c r="AJ301" s="142"/>
    </row>
    <row r="302" ht="13.5" customHeight="1">
      <c r="A302" s="142"/>
      <c r="B302" s="142"/>
      <c r="C302" s="142"/>
      <c r="D302" s="142"/>
      <c r="E302" s="142"/>
      <c r="F302" s="142"/>
      <c r="G302" s="143"/>
      <c r="H302" s="143"/>
      <c r="I302" s="144"/>
      <c r="J302" s="144"/>
      <c r="K302" s="145"/>
      <c r="L302" s="146"/>
      <c r="M302" s="147"/>
      <c r="N302" s="146"/>
      <c r="O302" s="144"/>
      <c r="P302" s="144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  <c r="AA302" s="142"/>
      <c r="AB302" s="142"/>
      <c r="AC302" s="142"/>
      <c r="AD302" s="142"/>
      <c r="AE302" s="142"/>
      <c r="AF302" s="142"/>
      <c r="AG302" s="142"/>
      <c r="AH302" s="142"/>
      <c r="AI302" s="142"/>
      <c r="AJ302" s="142"/>
    </row>
    <row r="303" ht="13.5" customHeight="1">
      <c r="A303" s="142"/>
      <c r="B303" s="142"/>
      <c r="C303" s="142"/>
      <c r="D303" s="142"/>
      <c r="E303" s="142"/>
      <c r="F303" s="142"/>
      <c r="G303" s="143"/>
      <c r="H303" s="143"/>
      <c r="I303" s="144"/>
      <c r="J303" s="144"/>
      <c r="K303" s="145"/>
      <c r="L303" s="146"/>
      <c r="M303" s="147"/>
      <c r="N303" s="146"/>
      <c r="O303" s="144"/>
      <c r="P303" s="144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  <c r="AA303" s="142"/>
      <c r="AB303" s="142"/>
      <c r="AC303" s="142"/>
      <c r="AD303" s="142"/>
      <c r="AE303" s="142"/>
      <c r="AF303" s="142"/>
      <c r="AG303" s="142"/>
      <c r="AH303" s="142"/>
      <c r="AI303" s="142"/>
      <c r="AJ303" s="142"/>
    </row>
    <row r="304" ht="13.5" customHeight="1">
      <c r="A304" s="142"/>
      <c r="B304" s="142"/>
      <c r="C304" s="142"/>
      <c r="D304" s="142"/>
      <c r="E304" s="142"/>
      <c r="F304" s="142"/>
      <c r="G304" s="143"/>
      <c r="H304" s="143"/>
      <c r="I304" s="144"/>
      <c r="J304" s="144"/>
      <c r="K304" s="145"/>
      <c r="L304" s="146"/>
      <c r="M304" s="147"/>
      <c r="N304" s="146"/>
      <c r="O304" s="144"/>
      <c r="P304" s="144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  <c r="AA304" s="142"/>
      <c r="AB304" s="142"/>
      <c r="AC304" s="142"/>
      <c r="AD304" s="142"/>
      <c r="AE304" s="142"/>
      <c r="AF304" s="142"/>
      <c r="AG304" s="142"/>
      <c r="AH304" s="142"/>
      <c r="AI304" s="142"/>
      <c r="AJ304" s="142"/>
    </row>
    <row r="305" ht="13.5" customHeight="1">
      <c r="A305" s="142"/>
      <c r="B305" s="142"/>
      <c r="C305" s="142"/>
      <c r="D305" s="142"/>
      <c r="E305" s="142"/>
      <c r="F305" s="142"/>
      <c r="G305" s="143"/>
      <c r="H305" s="143"/>
      <c r="I305" s="144"/>
      <c r="J305" s="144"/>
      <c r="K305" s="145"/>
      <c r="L305" s="146"/>
      <c r="M305" s="147"/>
      <c r="N305" s="146"/>
      <c r="O305" s="144"/>
      <c r="P305" s="144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  <c r="AA305" s="142"/>
      <c r="AB305" s="142"/>
      <c r="AC305" s="142"/>
      <c r="AD305" s="142"/>
      <c r="AE305" s="142"/>
      <c r="AF305" s="142"/>
      <c r="AG305" s="142"/>
      <c r="AH305" s="142"/>
      <c r="AI305" s="142"/>
      <c r="AJ305" s="142"/>
    </row>
    <row r="306" ht="13.5" customHeight="1">
      <c r="A306" s="142"/>
      <c r="B306" s="142"/>
      <c r="C306" s="142"/>
      <c r="D306" s="142"/>
      <c r="E306" s="142"/>
      <c r="F306" s="142"/>
      <c r="G306" s="143"/>
      <c r="H306" s="143"/>
      <c r="I306" s="144"/>
      <c r="J306" s="144"/>
      <c r="K306" s="145"/>
      <c r="L306" s="146"/>
      <c r="M306" s="147"/>
      <c r="N306" s="146"/>
      <c r="O306" s="144"/>
      <c r="P306" s="144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  <c r="AA306" s="142"/>
      <c r="AB306" s="142"/>
      <c r="AC306" s="142"/>
      <c r="AD306" s="142"/>
      <c r="AE306" s="142"/>
      <c r="AF306" s="142"/>
      <c r="AG306" s="142"/>
      <c r="AH306" s="142"/>
      <c r="AI306" s="142"/>
      <c r="AJ306" s="142"/>
    </row>
    <row r="307" ht="13.5" customHeight="1">
      <c r="A307" s="142"/>
      <c r="B307" s="142"/>
      <c r="C307" s="142"/>
      <c r="D307" s="142"/>
      <c r="E307" s="142"/>
      <c r="F307" s="142"/>
      <c r="G307" s="143"/>
      <c r="H307" s="143"/>
      <c r="I307" s="144"/>
      <c r="J307" s="144"/>
      <c r="K307" s="145"/>
      <c r="L307" s="146"/>
      <c r="M307" s="147"/>
      <c r="N307" s="146"/>
      <c r="O307" s="144"/>
      <c r="P307" s="144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  <c r="AA307" s="142"/>
      <c r="AB307" s="142"/>
      <c r="AC307" s="142"/>
      <c r="AD307" s="142"/>
      <c r="AE307" s="142"/>
      <c r="AF307" s="142"/>
      <c r="AG307" s="142"/>
      <c r="AH307" s="142"/>
      <c r="AI307" s="142"/>
      <c r="AJ307" s="142"/>
    </row>
    <row r="308" ht="13.5" customHeight="1">
      <c r="A308" s="142"/>
      <c r="B308" s="142"/>
      <c r="C308" s="142"/>
      <c r="D308" s="142"/>
      <c r="E308" s="142"/>
      <c r="F308" s="142"/>
      <c r="G308" s="143"/>
      <c r="H308" s="143"/>
      <c r="I308" s="144"/>
      <c r="J308" s="144"/>
      <c r="K308" s="145"/>
      <c r="L308" s="146"/>
      <c r="M308" s="147"/>
      <c r="N308" s="146"/>
      <c r="O308" s="144"/>
      <c r="P308" s="144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  <c r="AA308" s="142"/>
      <c r="AB308" s="142"/>
      <c r="AC308" s="142"/>
      <c r="AD308" s="142"/>
      <c r="AE308" s="142"/>
      <c r="AF308" s="142"/>
      <c r="AG308" s="142"/>
      <c r="AH308" s="142"/>
      <c r="AI308" s="142"/>
      <c r="AJ308" s="142"/>
    </row>
    <row r="309" ht="13.5" customHeight="1">
      <c r="A309" s="142"/>
      <c r="B309" s="142"/>
      <c r="C309" s="142"/>
      <c r="D309" s="142"/>
      <c r="E309" s="142"/>
      <c r="F309" s="142"/>
      <c r="G309" s="143"/>
      <c r="H309" s="143"/>
      <c r="I309" s="144"/>
      <c r="J309" s="144"/>
      <c r="K309" s="145"/>
      <c r="L309" s="146"/>
      <c r="M309" s="147"/>
      <c r="N309" s="146"/>
      <c r="O309" s="144"/>
      <c r="P309" s="144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  <c r="AA309" s="142"/>
      <c r="AB309" s="142"/>
      <c r="AC309" s="142"/>
      <c r="AD309" s="142"/>
      <c r="AE309" s="142"/>
      <c r="AF309" s="142"/>
      <c r="AG309" s="142"/>
      <c r="AH309" s="142"/>
      <c r="AI309" s="142"/>
      <c r="AJ309" s="142"/>
    </row>
    <row r="310" ht="13.5" customHeight="1">
      <c r="A310" s="142"/>
      <c r="B310" s="142"/>
      <c r="C310" s="142"/>
      <c r="D310" s="142"/>
      <c r="E310" s="142"/>
      <c r="F310" s="142"/>
      <c r="G310" s="143"/>
      <c r="H310" s="143"/>
      <c r="I310" s="144"/>
      <c r="J310" s="144"/>
      <c r="K310" s="145"/>
      <c r="L310" s="146"/>
      <c r="M310" s="147"/>
      <c r="N310" s="146"/>
      <c r="O310" s="144"/>
      <c r="P310" s="144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  <c r="AA310" s="142"/>
      <c r="AB310" s="142"/>
      <c r="AC310" s="142"/>
      <c r="AD310" s="142"/>
      <c r="AE310" s="142"/>
      <c r="AF310" s="142"/>
      <c r="AG310" s="142"/>
      <c r="AH310" s="142"/>
      <c r="AI310" s="142"/>
      <c r="AJ310" s="142"/>
    </row>
    <row r="311" ht="13.5" customHeight="1">
      <c r="A311" s="142"/>
      <c r="B311" s="142"/>
      <c r="C311" s="142"/>
      <c r="D311" s="142"/>
      <c r="E311" s="142"/>
      <c r="F311" s="142"/>
      <c r="G311" s="143"/>
      <c r="H311" s="143"/>
      <c r="I311" s="144"/>
      <c r="J311" s="144"/>
      <c r="K311" s="145"/>
      <c r="L311" s="146"/>
      <c r="M311" s="147"/>
      <c r="N311" s="146"/>
      <c r="O311" s="144"/>
      <c r="P311" s="144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  <c r="AA311" s="142"/>
      <c r="AB311" s="142"/>
      <c r="AC311" s="142"/>
      <c r="AD311" s="142"/>
      <c r="AE311" s="142"/>
      <c r="AF311" s="142"/>
      <c r="AG311" s="142"/>
      <c r="AH311" s="142"/>
      <c r="AI311" s="142"/>
      <c r="AJ311" s="142"/>
    </row>
    <row r="312" ht="13.5" customHeight="1">
      <c r="A312" s="142"/>
      <c r="B312" s="142"/>
      <c r="C312" s="142"/>
      <c r="D312" s="142"/>
      <c r="E312" s="142"/>
      <c r="F312" s="142"/>
      <c r="G312" s="143"/>
      <c r="H312" s="143"/>
      <c r="I312" s="144"/>
      <c r="J312" s="144"/>
      <c r="K312" s="145"/>
      <c r="L312" s="146"/>
      <c r="M312" s="147"/>
      <c r="N312" s="146"/>
      <c r="O312" s="144"/>
      <c r="P312" s="144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  <c r="AA312" s="142"/>
      <c r="AB312" s="142"/>
      <c r="AC312" s="142"/>
      <c r="AD312" s="142"/>
      <c r="AE312" s="142"/>
      <c r="AF312" s="142"/>
      <c r="AG312" s="142"/>
      <c r="AH312" s="142"/>
      <c r="AI312" s="142"/>
      <c r="AJ312" s="142"/>
    </row>
    <row r="313" ht="13.5" customHeight="1">
      <c r="A313" s="142"/>
      <c r="B313" s="142"/>
      <c r="C313" s="142"/>
      <c r="D313" s="142"/>
      <c r="E313" s="142"/>
      <c r="F313" s="142"/>
      <c r="G313" s="143"/>
      <c r="H313" s="143"/>
      <c r="I313" s="144"/>
      <c r="J313" s="144"/>
      <c r="K313" s="145"/>
      <c r="L313" s="146"/>
      <c r="M313" s="147"/>
      <c r="N313" s="146"/>
      <c r="O313" s="144"/>
      <c r="P313" s="144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  <c r="AA313" s="142"/>
      <c r="AB313" s="142"/>
      <c r="AC313" s="142"/>
      <c r="AD313" s="142"/>
      <c r="AE313" s="142"/>
      <c r="AF313" s="142"/>
      <c r="AG313" s="142"/>
      <c r="AH313" s="142"/>
      <c r="AI313" s="142"/>
      <c r="AJ313" s="142"/>
    </row>
    <row r="314" ht="13.5" customHeight="1">
      <c r="A314" s="142"/>
      <c r="B314" s="142"/>
      <c r="C314" s="142"/>
      <c r="D314" s="142"/>
      <c r="E314" s="142"/>
      <c r="F314" s="142"/>
      <c r="G314" s="143"/>
      <c r="H314" s="143"/>
      <c r="I314" s="144"/>
      <c r="J314" s="144"/>
      <c r="K314" s="145"/>
      <c r="L314" s="146"/>
      <c r="M314" s="147"/>
      <c r="N314" s="146"/>
      <c r="O314" s="144"/>
      <c r="P314" s="144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  <c r="AA314" s="142"/>
      <c r="AB314" s="142"/>
      <c r="AC314" s="142"/>
      <c r="AD314" s="142"/>
      <c r="AE314" s="142"/>
      <c r="AF314" s="142"/>
      <c r="AG314" s="142"/>
      <c r="AH314" s="142"/>
      <c r="AI314" s="142"/>
      <c r="AJ314" s="142"/>
    </row>
    <row r="315" ht="13.5" customHeight="1">
      <c r="A315" s="142"/>
      <c r="B315" s="142"/>
      <c r="C315" s="142"/>
      <c r="D315" s="142"/>
      <c r="E315" s="142"/>
      <c r="F315" s="142"/>
      <c r="G315" s="143"/>
      <c r="H315" s="143"/>
      <c r="I315" s="144"/>
      <c r="J315" s="144"/>
      <c r="K315" s="145"/>
      <c r="L315" s="146"/>
      <c r="M315" s="147"/>
      <c r="N315" s="146"/>
      <c r="O315" s="144"/>
      <c r="P315" s="144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  <c r="AA315" s="142"/>
      <c r="AB315" s="142"/>
      <c r="AC315" s="142"/>
      <c r="AD315" s="142"/>
      <c r="AE315" s="142"/>
      <c r="AF315" s="142"/>
      <c r="AG315" s="142"/>
      <c r="AH315" s="142"/>
      <c r="AI315" s="142"/>
      <c r="AJ315" s="142"/>
    </row>
    <row r="316" ht="13.5" customHeight="1">
      <c r="A316" s="142"/>
      <c r="B316" s="142"/>
      <c r="C316" s="142"/>
      <c r="D316" s="142"/>
      <c r="E316" s="142"/>
      <c r="F316" s="142"/>
      <c r="G316" s="143"/>
      <c r="H316" s="143"/>
      <c r="I316" s="144"/>
      <c r="J316" s="144"/>
      <c r="K316" s="145"/>
      <c r="L316" s="146"/>
      <c r="M316" s="147"/>
      <c r="N316" s="146"/>
      <c r="O316" s="144"/>
      <c r="P316" s="144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</row>
    <row r="317" ht="13.5" customHeight="1">
      <c r="A317" s="142"/>
      <c r="B317" s="142"/>
      <c r="C317" s="142"/>
      <c r="D317" s="142"/>
      <c r="E317" s="142"/>
      <c r="F317" s="142"/>
      <c r="G317" s="143"/>
      <c r="H317" s="143"/>
      <c r="I317" s="144"/>
      <c r="J317" s="144"/>
      <c r="K317" s="145"/>
      <c r="L317" s="146"/>
      <c r="M317" s="147"/>
      <c r="N317" s="146"/>
      <c r="O317" s="144"/>
      <c r="P317" s="144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</row>
    <row r="318" ht="13.5" customHeight="1">
      <c r="A318" s="142"/>
      <c r="B318" s="142"/>
      <c r="C318" s="142"/>
      <c r="D318" s="142"/>
      <c r="E318" s="142"/>
      <c r="F318" s="142"/>
      <c r="G318" s="143"/>
      <c r="H318" s="143"/>
      <c r="I318" s="144"/>
      <c r="J318" s="144"/>
      <c r="K318" s="145"/>
      <c r="L318" s="146"/>
      <c r="M318" s="147"/>
      <c r="N318" s="146"/>
      <c r="O318" s="144"/>
      <c r="P318" s="144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  <c r="AA318" s="142"/>
      <c r="AB318" s="142"/>
      <c r="AC318" s="142"/>
      <c r="AD318" s="142"/>
      <c r="AE318" s="142"/>
      <c r="AF318" s="142"/>
      <c r="AG318" s="142"/>
      <c r="AH318" s="142"/>
      <c r="AI318" s="142"/>
      <c r="AJ318" s="142"/>
    </row>
    <row r="319" ht="13.5" customHeight="1">
      <c r="A319" s="142"/>
      <c r="B319" s="142"/>
      <c r="C319" s="142"/>
      <c r="D319" s="142"/>
      <c r="E319" s="142"/>
      <c r="F319" s="142"/>
      <c r="G319" s="143"/>
      <c r="H319" s="143"/>
      <c r="I319" s="144"/>
      <c r="J319" s="144"/>
      <c r="K319" s="145"/>
      <c r="L319" s="146"/>
      <c r="M319" s="147"/>
      <c r="N319" s="146"/>
      <c r="O319" s="144"/>
      <c r="P319" s="144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  <c r="AA319" s="142"/>
      <c r="AB319" s="142"/>
      <c r="AC319" s="142"/>
      <c r="AD319" s="142"/>
      <c r="AE319" s="142"/>
      <c r="AF319" s="142"/>
      <c r="AG319" s="142"/>
      <c r="AH319" s="142"/>
      <c r="AI319" s="142"/>
      <c r="AJ319" s="142"/>
    </row>
    <row r="320" ht="13.5" customHeight="1">
      <c r="A320" s="142"/>
      <c r="B320" s="142"/>
      <c r="C320" s="142"/>
      <c r="D320" s="142"/>
      <c r="E320" s="142"/>
      <c r="F320" s="142"/>
      <c r="G320" s="143"/>
      <c r="H320" s="143"/>
      <c r="I320" s="144"/>
      <c r="J320" s="144"/>
      <c r="K320" s="145"/>
      <c r="L320" s="146"/>
      <c r="M320" s="147"/>
      <c r="N320" s="146"/>
      <c r="O320" s="144"/>
      <c r="P320" s="144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  <c r="AA320" s="142"/>
      <c r="AB320" s="142"/>
      <c r="AC320" s="142"/>
      <c r="AD320" s="142"/>
      <c r="AE320" s="142"/>
      <c r="AF320" s="142"/>
      <c r="AG320" s="142"/>
      <c r="AH320" s="142"/>
      <c r="AI320" s="142"/>
      <c r="AJ320" s="142"/>
    </row>
    <row r="321" ht="13.5" customHeight="1">
      <c r="A321" s="142"/>
      <c r="B321" s="142"/>
      <c r="C321" s="142"/>
      <c r="D321" s="142"/>
      <c r="E321" s="142"/>
      <c r="F321" s="142"/>
      <c r="G321" s="143"/>
      <c r="H321" s="143"/>
      <c r="I321" s="144"/>
      <c r="J321" s="144"/>
      <c r="K321" s="145"/>
      <c r="L321" s="146"/>
      <c r="M321" s="147"/>
      <c r="N321" s="146"/>
      <c r="O321" s="144"/>
      <c r="P321" s="144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  <c r="AA321" s="142"/>
      <c r="AB321" s="142"/>
      <c r="AC321" s="142"/>
      <c r="AD321" s="142"/>
      <c r="AE321" s="142"/>
      <c r="AF321" s="142"/>
      <c r="AG321" s="142"/>
      <c r="AH321" s="142"/>
      <c r="AI321" s="142"/>
      <c r="AJ321" s="142"/>
    </row>
    <row r="322" ht="13.5" customHeight="1">
      <c r="A322" s="142"/>
      <c r="B322" s="142"/>
      <c r="C322" s="142"/>
      <c r="D322" s="142"/>
      <c r="E322" s="142"/>
      <c r="F322" s="142"/>
      <c r="G322" s="143"/>
      <c r="H322" s="143"/>
      <c r="I322" s="144"/>
      <c r="J322" s="144"/>
      <c r="K322" s="145"/>
      <c r="L322" s="146"/>
      <c r="M322" s="147"/>
      <c r="N322" s="146"/>
      <c r="O322" s="144"/>
      <c r="P322" s="144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  <c r="AA322" s="142"/>
      <c r="AB322" s="142"/>
      <c r="AC322" s="142"/>
      <c r="AD322" s="142"/>
      <c r="AE322" s="142"/>
      <c r="AF322" s="142"/>
      <c r="AG322" s="142"/>
      <c r="AH322" s="142"/>
      <c r="AI322" s="142"/>
      <c r="AJ322" s="142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4:C5"/>
    <mergeCell ref="D4:E4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I2:J2"/>
    <mergeCell ref="K2:L2"/>
    <mergeCell ref="M2:N2"/>
    <mergeCell ref="O2:P2"/>
    <mergeCell ref="I3:L3"/>
    <mergeCell ref="M3:P3"/>
    <mergeCell ref="B4:B5"/>
    <mergeCell ref="P4:P5"/>
  </mergeCells>
  <dataValidations>
    <dataValidation type="list" allowBlank="1" showErrorMessage="1" sqref="M8 M11 M13 M17 M21 M27 M31 M39 M52 M57 M63 M111 M124">
      <formula1>"미착수,착수,수행,PL확인,PM확인,완료"</formula1>
    </dataValidation>
    <dataValidation type="list" allowBlank="1" showErrorMessage="1" sqref="M9:M10 M12 M14:M15 M18:M19 M22:M25 M28:M30 M32:M38 M40:M50 M53:M55 M58:M61 M64:M110 M112:M123">
      <formula1>"미착수,착수,수행1단계,수행2단계,테스트,PL확인,PM확인,완료"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5.14"/>
    <col customWidth="1" min="3" max="3" width="8.71"/>
    <col customWidth="1" min="4" max="4" width="16.0"/>
    <col customWidth="1" min="5" max="5" width="49.86"/>
    <col customWidth="1" min="6" max="6" width="16.14"/>
    <col customWidth="1" min="7" max="7" width="13.57"/>
    <col customWidth="1" min="8" max="8" width="7.86"/>
    <col customWidth="1" min="9" max="10" width="12.57"/>
    <col customWidth="1" min="11" max="11" width="8.57"/>
    <col customWidth="1" min="12" max="12" width="9.14"/>
    <col customWidth="1" min="13" max="13" width="11.57"/>
    <col customWidth="1" min="14" max="14" width="9.0"/>
    <col customWidth="1" min="15" max="16" width="11.29"/>
    <col customWidth="1" min="17" max="36" width="9.0"/>
  </cols>
  <sheetData>
    <row r="1" ht="13.5" customHeight="1">
      <c r="A1" s="142"/>
      <c r="B1" s="142"/>
      <c r="C1" s="142"/>
      <c r="D1" s="142"/>
      <c r="E1" s="142"/>
      <c r="F1" s="142"/>
      <c r="G1" s="143"/>
      <c r="H1" s="143"/>
      <c r="I1" s="144"/>
      <c r="J1" s="144"/>
      <c r="K1" s="145"/>
      <c r="L1" s="146"/>
      <c r="M1" s="147"/>
      <c r="N1" s="146"/>
      <c r="O1" s="144"/>
      <c r="P1" s="144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</row>
    <row r="2" ht="15.0" customHeight="1">
      <c r="A2" s="148"/>
      <c r="B2" s="149" t="s">
        <v>292</v>
      </c>
      <c r="C2" s="148"/>
      <c r="D2" s="148"/>
      <c r="E2" s="148"/>
      <c r="F2" s="148"/>
      <c r="G2" s="150"/>
      <c r="H2" s="150"/>
      <c r="I2" s="151" t="s">
        <v>136</v>
      </c>
      <c r="J2" s="79"/>
      <c r="K2" s="152">
        <f>(SUM(L8:L15)+SUM(L17:L23)+SUM(L25:L27))/(COUNT(L8:L15)+COUNT(L17:L23)+COUNT(L25:L27))</f>
        <v>0.1538461538</v>
      </c>
      <c r="L2" s="79"/>
      <c r="M2" s="153" t="s">
        <v>137</v>
      </c>
      <c r="N2" s="79"/>
      <c r="O2" s="152">
        <f>(SUM(N8:N15)+SUM(N17:N23)+SUM(N25:N27))/(COUNT(N8:N15)+COUNT(N17:N23)+COUNT(N25:N27))</f>
        <v>0.1538461538</v>
      </c>
      <c r="P2" s="45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</row>
    <row r="3" ht="15.0" customHeight="1">
      <c r="A3" s="148"/>
      <c r="B3" s="150"/>
      <c r="C3" s="39"/>
      <c r="D3" s="39"/>
      <c r="E3" s="39"/>
      <c r="F3" s="148"/>
      <c r="G3" s="150"/>
      <c r="H3" s="150"/>
      <c r="I3" s="245" t="s">
        <v>138</v>
      </c>
      <c r="J3" s="70"/>
      <c r="K3" s="70"/>
      <c r="L3" s="71"/>
      <c r="M3" s="246" t="s">
        <v>139</v>
      </c>
      <c r="N3" s="70"/>
      <c r="O3" s="70"/>
      <c r="P3" s="104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</row>
    <row r="4" ht="20.25" customHeight="1">
      <c r="A4" s="160"/>
      <c r="B4" s="161" t="s">
        <v>117</v>
      </c>
      <c r="C4" s="162" t="s">
        <v>140</v>
      </c>
      <c r="D4" s="163" t="s">
        <v>293</v>
      </c>
      <c r="E4" s="79"/>
      <c r="F4" s="162" t="s">
        <v>142</v>
      </c>
      <c r="G4" s="162" t="s">
        <v>143</v>
      </c>
      <c r="H4" s="162" t="s">
        <v>118</v>
      </c>
      <c r="I4" s="247" t="s">
        <v>144</v>
      </c>
      <c r="J4" s="165" t="s">
        <v>145</v>
      </c>
      <c r="K4" s="165" t="s">
        <v>146</v>
      </c>
      <c r="L4" s="166" t="s">
        <v>149</v>
      </c>
      <c r="M4" s="167" t="s">
        <v>148</v>
      </c>
      <c r="N4" s="167" t="s">
        <v>123</v>
      </c>
      <c r="O4" s="167" t="s">
        <v>150</v>
      </c>
      <c r="P4" s="168" t="s">
        <v>151</v>
      </c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</row>
    <row r="5" ht="20.25" customHeight="1">
      <c r="A5" s="160"/>
      <c r="B5" s="169"/>
      <c r="C5" s="28"/>
      <c r="D5" s="170" t="s">
        <v>152</v>
      </c>
      <c r="E5" s="170" t="s">
        <v>153</v>
      </c>
      <c r="F5" s="28"/>
      <c r="G5" s="28"/>
      <c r="H5" s="28"/>
      <c r="I5" s="248"/>
      <c r="J5" s="28"/>
      <c r="K5" s="28"/>
      <c r="L5" s="28"/>
      <c r="M5" s="28"/>
      <c r="N5" s="28"/>
      <c r="O5" s="28"/>
      <c r="P5" s="171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</row>
    <row r="6" ht="13.5" customHeight="1">
      <c r="A6" s="172"/>
      <c r="B6" s="173" t="s">
        <v>294</v>
      </c>
      <c r="C6" s="174"/>
      <c r="D6" s="174"/>
      <c r="E6" s="174"/>
      <c r="F6" s="174"/>
      <c r="G6" s="175"/>
      <c r="H6" s="249">
        <f>'진척율보고서'!H11</f>
        <v>20</v>
      </c>
      <c r="I6" s="250"/>
      <c r="J6" s="178"/>
      <c r="K6" s="179" t="str">
        <f t="shared" ref="K6:K7" si="1">IF(OR(ISBLANK($I6), ISBLANK($J6)),"",NETWORKDAYS($I6,$J6))</f>
        <v/>
      </c>
      <c r="L6" s="180">
        <f>K2*H6/100</f>
        <v>0.03076923077</v>
      </c>
      <c r="M6" s="181"/>
      <c r="N6" s="182">
        <f>O2*H6/100</f>
        <v>0.03076923077</v>
      </c>
      <c r="O6" s="178"/>
      <c r="P6" s="183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</row>
    <row r="7" ht="13.5" customHeight="1">
      <c r="A7" s="142"/>
      <c r="B7" s="184"/>
      <c r="C7" s="185" t="s">
        <v>295</v>
      </c>
      <c r="D7" s="186"/>
      <c r="E7" s="186"/>
      <c r="F7" s="186"/>
      <c r="G7" s="187"/>
      <c r="H7" s="221"/>
      <c r="I7" s="222">
        <f>MIN(I8:I15)</f>
        <v>46076</v>
      </c>
      <c r="J7" s="189">
        <f>MAX(J8:J15)</f>
        <v>46200</v>
      </c>
      <c r="K7" s="190">
        <f t="shared" si="1"/>
        <v>90</v>
      </c>
      <c r="L7" s="191">
        <f>SUM(L8:L15)/COUNT(L8:L15)</f>
        <v>0.3333333333</v>
      </c>
      <c r="M7" s="192"/>
      <c r="N7" s="193">
        <f>SUM(N8:N15)/COUNT(N8:N15)</f>
        <v>0.3333333333</v>
      </c>
      <c r="O7" s="189"/>
      <c r="P7" s="194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ht="13.5" customHeight="1">
      <c r="A8" s="142"/>
      <c r="B8" s="184"/>
      <c r="C8" s="196"/>
      <c r="D8" s="197" t="s">
        <v>296</v>
      </c>
      <c r="E8" s="197"/>
      <c r="F8" s="197"/>
      <c r="G8" s="198"/>
      <c r="H8" s="223"/>
      <c r="I8" s="224"/>
      <c r="J8" s="200"/>
      <c r="K8" s="201"/>
      <c r="L8" s="202"/>
      <c r="M8" s="203"/>
      <c r="N8" s="204"/>
      <c r="O8" s="224"/>
      <c r="P8" s="205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</row>
    <row r="9" ht="13.5" customHeight="1">
      <c r="A9" s="142"/>
      <c r="B9" s="184"/>
      <c r="C9" s="196"/>
      <c r="D9" s="196"/>
      <c r="E9" s="196" t="s">
        <v>297</v>
      </c>
      <c r="F9" s="196"/>
      <c r="G9" s="217" t="s">
        <v>168</v>
      </c>
      <c r="H9" s="251"/>
      <c r="I9" s="219">
        <v>46076.0</v>
      </c>
      <c r="J9" s="219">
        <v>46080.0</v>
      </c>
      <c r="K9" s="211">
        <f t="shared" ref="K9:K12" si="2">IF(OR(ISBLANK($I9), ISBLANK($J9)),"",NETWORKDAYS($I9,$J9))</f>
        <v>5</v>
      </c>
      <c r="L9" s="212">
        <f>IF(OR(ISBLANK($I9), ISBLANK($J9)), "", IF('진척율보고서'!$M$4 &lt; $I9, 0, IF('진척율보고서'!$M$4 &gt;= $J9, 1, NETWORKDAYS($I9,'진척율보고서'!$M$4)/$K9)))</f>
        <v>1</v>
      </c>
      <c r="M9" s="213" t="s">
        <v>158</v>
      </c>
      <c r="N9" s="214">
        <f t="shared" ref="N9:N12" si="3">IF($M9="완료",1,IF($M9="PM확인",0.95,IF($M9="PL확인",0.8,IF($M9="테스트",0.7,IF($M9="수행2단계",0.55,IF($M9="수행1단계",0.35,IF($M9="착수",0.2,IF($M9="미착수",0,""))))))))</f>
        <v>1</v>
      </c>
      <c r="O9" s="215"/>
      <c r="P9" s="216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ht="13.5" customHeight="1">
      <c r="A10" s="142"/>
      <c r="B10" s="184"/>
      <c r="C10" s="196"/>
      <c r="D10" s="196"/>
      <c r="E10" s="196" t="s">
        <v>298</v>
      </c>
      <c r="F10" s="196"/>
      <c r="G10" s="217" t="s">
        <v>232</v>
      </c>
      <c r="H10" s="251"/>
      <c r="I10" s="219">
        <v>46084.0</v>
      </c>
      <c r="J10" s="219">
        <v>46094.0</v>
      </c>
      <c r="K10" s="211">
        <f t="shared" si="2"/>
        <v>9</v>
      </c>
      <c r="L10" s="212">
        <f>IF(OR(ISBLANK($I10), ISBLANK($J10)), "", IF('진척율보고서'!$M$4 &lt; $I10, 0, IF('진척율보고서'!$M$4 &gt;= $J10, 1, NETWORKDAYS($I10,'진척율보고서'!$M$4)/$K10)))</f>
        <v>1</v>
      </c>
      <c r="M10" s="213" t="s">
        <v>158</v>
      </c>
      <c r="N10" s="214">
        <f t="shared" si="3"/>
        <v>1</v>
      </c>
      <c r="O10" s="215"/>
      <c r="P10" s="216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ht="13.5" customHeight="1">
      <c r="A11" s="142"/>
      <c r="B11" s="184"/>
      <c r="C11" s="196"/>
      <c r="D11" s="196"/>
      <c r="E11" s="252" t="s">
        <v>299</v>
      </c>
      <c r="F11" s="196"/>
      <c r="G11" s="217" t="s">
        <v>232</v>
      </c>
      <c r="H11" s="251"/>
      <c r="I11" s="219">
        <v>46167.0</v>
      </c>
      <c r="J11" s="219">
        <v>46173.0</v>
      </c>
      <c r="K11" s="211">
        <f t="shared" si="2"/>
        <v>5</v>
      </c>
      <c r="L11" s="212">
        <f>IF(OR(ISBLANK($I11), ISBLANK($J11)), "", IF('진척율보고서'!$M$4 &lt; $I11, 0, IF('진척율보고서'!$M$4 &gt;= $J11, 1, NETWORKDAYS($I11,'진척율보고서'!$M$4)/$K11)))</f>
        <v>0</v>
      </c>
      <c r="M11" s="213" t="s">
        <v>163</v>
      </c>
      <c r="N11" s="214">
        <f t="shared" si="3"/>
        <v>0</v>
      </c>
      <c r="O11" s="215"/>
      <c r="P11" s="216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</row>
    <row r="12" ht="13.5" customHeight="1">
      <c r="A12" s="142"/>
      <c r="B12" s="184"/>
      <c r="C12" s="196"/>
      <c r="D12" s="196"/>
      <c r="E12" s="196" t="s">
        <v>300</v>
      </c>
      <c r="F12" s="196"/>
      <c r="G12" s="217" t="s">
        <v>168</v>
      </c>
      <c r="H12" s="251"/>
      <c r="I12" s="219">
        <v>46196.0</v>
      </c>
      <c r="J12" s="210">
        <v>46200.0</v>
      </c>
      <c r="K12" s="211">
        <f t="shared" si="2"/>
        <v>4</v>
      </c>
      <c r="L12" s="212">
        <f>IF(OR(ISBLANK($I12), ISBLANK($J12)), "", IF('진척율보고서'!$M$4 &lt; $I12, 0, IF('진척율보고서'!$M$4 &gt;= $J12, 1, NETWORKDAYS($I12,'진척율보고서'!$M$4)/$K12)))</f>
        <v>0</v>
      </c>
      <c r="M12" s="213" t="s">
        <v>163</v>
      </c>
      <c r="N12" s="214">
        <f t="shared" si="3"/>
        <v>0</v>
      </c>
      <c r="O12" s="215"/>
      <c r="P12" s="216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</row>
    <row r="13" ht="13.5" customHeight="1">
      <c r="A13" s="230"/>
      <c r="B13" s="184"/>
      <c r="C13" s="196"/>
      <c r="D13" s="197" t="s">
        <v>301</v>
      </c>
      <c r="E13" s="197"/>
      <c r="F13" s="197"/>
      <c r="G13" s="198"/>
      <c r="H13" s="223"/>
      <c r="I13" s="224"/>
      <c r="J13" s="200"/>
      <c r="K13" s="201"/>
      <c r="L13" s="202"/>
      <c r="M13" s="203"/>
      <c r="N13" s="204"/>
      <c r="O13" s="200"/>
      <c r="P13" s="205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</row>
    <row r="14" ht="13.5" customHeight="1">
      <c r="A14" s="142"/>
      <c r="B14" s="231"/>
      <c r="C14" s="196"/>
      <c r="D14" s="196"/>
      <c r="E14" s="196" t="s">
        <v>302</v>
      </c>
      <c r="F14" s="206"/>
      <c r="G14" s="217" t="s">
        <v>168</v>
      </c>
      <c r="H14" s="253"/>
      <c r="I14" s="219">
        <v>46174.0</v>
      </c>
      <c r="J14" s="210">
        <v>46185.0</v>
      </c>
      <c r="K14" s="211">
        <f t="shared" ref="K14:K16" si="4">IF(OR(ISBLANK($I14), ISBLANK($J14)),"",NETWORKDAYS($I14,$J14))</f>
        <v>10</v>
      </c>
      <c r="L14" s="212">
        <f>IF(OR(ISBLANK($I14), ISBLANK($J14)), "", IF('진척율보고서'!$M$4 &lt; $I14, 0, IF('진척율보고서'!$M$4 &gt;= $J14, 1, NETWORKDAYS($I14,'진척율보고서'!$M$4)/$K14)))</f>
        <v>0</v>
      </c>
      <c r="M14" s="213" t="s">
        <v>163</v>
      </c>
      <c r="N14" s="214">
        <f t="shared" ref="N14:N15" si="5">IF($M14="완료",1,IF($M14="PM확인",0.95,IF($M14="PL확인",0.8,IF($M14="테스트",0.7,IF($M14="수행2단계",0.55,IF($M14="수행1단계",0.35,IF($M14="착수",0.2,IF($M14="미착수",0,""))))))))</f>
        <v>0</v>
      </c>
      <c r="O14" s="215"/>
      <c r="P14" s="216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</row>
    <row r="15" ht="14.25" customHeight="1">
      <c r="A15" s="142"/>
      <c r="B15" s="184"/>
      <c r="C15" s="196"/>
      <c r="D15" s="196"/>
      <c r="E15" s="196" t="s">
        <v>303</v>
      </c>
      <c r="F15" s="196"/>
      <c r="G15" s="217" t="s">
        <v>168</v>
      </c>
      <c r="H15" s="251"/>
      <c r="I15" s="219">
        <v>46188.0</v>
      </c>
      <c r="J15" s="210">
        <v>46192.0</v>
      </c>
      <c r="K15" s="211">
        <f t="shared" si="4"/>
        <v>5</v>
      </c>
      <c r="L15" s="212">
        <f>IF(OR(ISBLANK($I15), ISBLANK($J15)), "", IF('진척율보고서'!$M$4 &lt; $I15, 0, IF('진척율보고서'!$M$4 &gt;= $J15, 1, NETWORKDAYS($I15,'진척율보고서'!$M$4)/$K15)))</f>
        <v>0</v>
      </c>
      <c r="M15" s="213" t="s">
        <v>163</v>
      </c>
      <c r="N15" s="214">
        <f t="shared" si="5"/>
        <v>0</v>
      </c>
      <c r="O15" s="219"/>
      <c r="P15" s="216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ht="14.25" customHeight="1">
      <c r="A16" s="142"/>
      <c r="B16" s="184"/>
      <c r="C16" s="185" t="s">
        <v>304</v>
      </c>
      <c r="D16" s="186"/>
      <c r="E16" s="186"/>
      <c r="F16" s="186"/>
      <c r="G16" s="187"/>
      <c r="H16" s="221"/>
      <c r="I16" s="222">
        <f>MIN(I17:I23)</f>
        <v>46195</v>
      </c>
      <c r="J16" s="189">
        <f>MAX(J17:J23)</f>
        <v>46295</v>
      </c>
      <c r="K16" s="190">
        <f t="shared" si="4"/>
        <v>73</v>
      </c>
      <c r="L16" s="191">
        <f>SUM(L17:L23)/COUNT(L17:L23)</f>
        <v>0</v>
      </c>
      <c r="M16" s="192"/>
      <c r="N16" s="193">
        <f>SUM(N17:N23)/COUNT(N17:N23)</f>
        <v>0</v>
      </c>
      <c r="O16" s="189"/>
      <c r="P16" s="194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</row>
    <row r="17" ht="13.5" customHeight="1">
      <c r="A17" s="142"/>
      <c r="B17" s="184"/>
      <c r="C17" s="254"/>
      <c r="D17" s="197" t="s">
        <v>305</v>
      </c>
      <c r="E17" s="197"/>
      <c r="F17" s="197"/>
      <c r="G17" s="198"/>
      <c r="H17" s="223"/>
      <c r="I17" s="255"/>
      <c r="J17" s="256"/>
      <c r="K17" s="257"/>
      <c r="L17" s="258"/>
      <c r="M17" s="259"/>
      <c r="N17" s="260"/>
      <c r="O17" s="256"/>
      <c r="P17" s="261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ht="13.5" customHeight="1">
      <c r="A18" s="230"/>
      <c r="B18" s="184"/>
      <c r="C18" s="196"/>
      <c r="D18" s="196"/>
      <c r="E18" s="196" t="s">
        <v>306</v>
      </c>
      <c r="F18" s="206"/>
      <c r="G18" s="217" t="s">
        <v>168</v>
      </c>
      <c r="H18" s="262"/>
      <c r="I18" s="219">
        <v>46195.0</v>
      </c>
      <c r="J18" s="210">
        <v>46199.0</v>
      </c>
      <c r="K18" s="211">
        <f t="shared" ref="K18:K19" si="6">IF(OR(ISBLANK($I18), ISBLANK($J18)),"",NETWORKDAYS($I18,$J18))</f>
        <v>5</v>
      </c>
      <c r="L18" s="212">
        <f>IF(OR(ISBLANK($I18), ISBLANK($J18)), "", IF('진척율보고서'!$M$4 &lt; $I18, 0, IF('진척율보고서'!$M$4 &gt;= $J18, 1, NETWORKDAYS($I18,'진척율보고서'!$M$4)/$K18)))</f>
        <v>0</v>
      </c>
      <c r="M18" s="213" t="s">
        <v>163</v>
      </c>
      <c r="N18" s="214">
        <f t="shared" ref="N18:N19" si="7">IF($M18="완료",1,IF($M18="PM확인",0.95,IF($M18="PL확인",0.8,IF($M18="테스트",0.7,IF($M18="수행2단계",0.55,IF($M18="수행1단계",0.35,IF($M18="착수",0.2,IF($M18="미착수",0,""))))))))</f>
        <v>0</v>
      </c>
      <c r="O18" s="227"/>
      <c r="P18" s="229"/>
      <c r="Q18" s="230"/>
      <c r="R18" s="230"/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</row>
    <row r="19" ht="13.5" customHeight="1">
      <c r="A19" s="230"/>
      <c r="B19" s="184"/>
      <c r="C19" s="196"/>
      <c r="D19" s="196"/>
      <c r="E19" s="196" t="s">
        <v>307</v>
      </c>
      <c r="F19" s="206"/>
      <c r="G19" s="217" t="s">
        <v>168</v>
      </c>
      <c r="H19" s="262"/>
      <c r="I19" s="219">
        <v>46202.0</v>
      </c>
      <c r="J19" s="210">
        <v>46206.0</v>
      </c>
      <c r="K19" s="211">
        <f t="shared" si="6"/>
        <v>5</v>
      </c>
      <c r="L19" s="212">
        <f>IF(OR(ISBLANK($I19), ISBLANK($J19)), "", IF('진척율보고서'!$M$4 &lt; $I19, 0, IF('진척율보고서'!$M$4 &gt;= $J19, 1, NETWORKDAYS($I19,'진척율보고서'!$M$4)/$K19)))</f>
        <v>0</v>
      </c>
      <c r="M19" s="213" t="s">
        <v>163</v>
      </c>
      <c r="N19" s="214">
        <f t="shared" si="7"/>
        <v>0</v>
      </c>
      <c r="O19" s="227"/>
      <c r="P19" s="229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</row>
    <row r="20" ht="13.5" customHeight="1">
      <c r="A20" s="230"/>
      <c r="B20" s="231"/>
      <c r="C20" s="196"/>
      <c r="D20" s="197" t="s">
        <v>308</v>
      </c>
      <c r="E20" s="197"/>
      <c r="F20" s="197"/>
      <c r="G20" s="198"/>
      <c r="H20" s="223"/>
      <c r="I20" s="224"/>
      <c r="J20" s="200"/>
      <c r="K20" s="201"/>
      <c r="L20" s="202"/>
      <c r="M20" s="203"/>
      <c r="N20" s="204"/>
      <c r="O20" s="224"/>
      <c r="P20" s="205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  <c r="AJ20" s="230"/>
    </row>
    <row r="21" ht="14.25" customHeight="1">
      <c r="A21" s="142"/>
      <c r="B21" s="184"/>
      <c r="C21" s="196"/>
      <c r="D21" s="218"/>
      <c r="E21" s="196" t="s">
        <v>309</v>
      </c>
      <c r="F21" s="196"/>
      <c r="G21" s="217" t="s">
        <v>168</v>
      </c>
      <c r="H21" s="262"/>
      <c r="I21" s="210">
        <v>46209.0</v>
      </c>
      <c r="J21" s="210">
        <v>46234.0</v>
      </c>
      <c r="K21" s="211">
        <f t="shared" ref="K21:K24" si="8">IF(OR(ISBLANK($I21), ISBLANK($J21)),"",NETWORKDAYS($I21,$J21))</f>
        <v>20</v>
      </c>
      <c r="L21" s="212">
        <f>IF(OR(ISBLANK($I21), ISBLANK($J21)), "", IF('진척율보고서'!$M$4 &lt; $I21, 0, IF('진척율보고서'!$M$4 &gt;= $J21, 1, NETWORKDAYS($I21,'진척율보고서'!$M$4)/$K21)))</f>
        <v>0</v>
      </c>
      <c r="M21" s="213" t="s">
        <v>163</v>
      </c>
      <c r="N21" s="214">
        <f t="shared" ref="N21:N23" si="9">IF($M21="완료",1,IF($M21="PM확인",0.95,IF($M21="PL확인",0.8,IF($M21="테스트",0.7,IF($M21="수행2단계",0.55,IF($M21="수행1단계",0.35,IF($M21="착수",0.2,IF($M21="미착수",0,""))))))))</f>
        <v>0</v>
      </c>
      <c r="O21" s="227"/>
      <c r="P21" s="229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</row>
    <row r="22" ht="14.25" customHeight="1">
      <c r="A22" s="142"/>
      <c r="B22" s="184"/>
      <c r="C22" s="196"/>
      <c r="D22" s="218"/>
      <c r="E22" s="252" t="s">
        <v>310</v>
      </c>
      <c r="F22" s="252"/>
      <c r="G22" s="217" t="s">
        <v>168</v>
      </c>
      <c r="H22" s="263"/>
      <c r="I22" s="264">
        <v>46237.0</v>
      </c>
      <c r="J22" s="264">
        <v>46283.0</v>
      </c>
      <c r="K22" s="211">
        <f t="shared" si="8"/>
        <v>35</v>
      </c>
      <c r="L22" s="212">
        <f>IF(OR(ISBLANK($I22), ISBLANK($J22)), "", IF('진척율보고서'!$M$4 &lt; $I22, 0, IF('진척율보고서'!$M$4 &gt;= $J22, 1, NETWORKDAYS($I22,'진척율보고서'!$M$4)/$K22)))</f>
        <v>0</v>
      </c>
      <c r="M22" s="213" t="s">
        <v>163</v>
      </c>
      <c r="N22" s="214">
        <f t="shared" si="9"/>
        <v>0</v>
      </c>
      <c r="O22" s="227"/>
      <c r="P22" s="229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</row>
    <row r="23" ht="14.25" customHeight="1">
      <c r="A23" s="142"/>
      <c r="B23" s="184"/>
      <c r="C23" s="196"/>
      <c r="D23" s="218"/>
      <c r="E23" s="196" t="s">
        <v>311</v>
      </c>
      <c r="F23" s="196"/>
      <c r="G23" s="217" t="s">
        <v>168</v>
      </c>
      <c r="H23" s="262"/>
      <c r="I23" s="264">
        <v>46286.0</v>
      </c>
      <c r="J23" s="264">
        <v>46295.0</v>
      </c>
      <c r="K23" s="211">
        <f t="shared" si="8"/>
        <v>8</v>
      </c>
      <c r="L23" s="212">
        <f>IF(OR(ISBLANK($I23), ISBLANK($J23)), "", IF('진척율보고서'!$M$4 &lt; $I23, 0, IF('진척율보고서'!$M$4 &gt;= $J23, 1, NETWORKDAYS($I23,'진척율보고서'!$M$4)/$K23)))</f>
        <v>0</v>
      </c>
      <c r="M23" s="213" t="s">
        <v>163</v>
      </c>
      <c r="N23" s="214">
        <f t="shared" si="9"/>
        <v>0</v>
      </c>
      <c r="O23" s="227"/>
      <c r="P23" s="229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</row>
    <row r="24" ht="14.25" customHeight="1">
      <c r="A24" s="142"/>
      <c r="B24" s="184"/>
      <c r="C24" s="186" t="s">
        <v>312</v>
      </c>
      <c r="D24" s="186"/>
      <c r="E24" s="186"/>
      <c r="F24" s="186"/>
      <c r="G24" s="187"/>
      <c r="H24" s="221"/>
      <c r="I24" s="222">
        <f>MIN(I25:I27)</f>
        <v>46296</v>
      </c>
      <c r="J24" s="189">
        <f>MAX(J25:J27)</f>
        <v>46311</v>
      </c>
      <c r="K24" s="190">
        <f t="shared" si="8"/>
        <v>12</v>
      </c>
      <c r="L24" s="191">
        <f>SUM(L25:L27)/COUNT(L25:L27)</f>
        <v>0</v>
      </c>
      <c r="M24" s="192"/>
      <c r="N24" s="193">
        <f>SUM(N25:N27)/COUNT(N25:N27)</f>
        <v>0</v>
      </c>
      <c r="O24" s="189"/>
      <c r="P24" s="194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</row>
    <row r="25" ht="13.5" customHeight="1">
      <c r="A25" s="142"/>
      <c r="B25" s="231"/>
      <c r="C25" s="196"/>
      <c r="D25" s="197" t="s">
        <v>312</v>
      </c>
      <c r="E25" s="197"/>
      <c r="F25" s="197"/>
      <c r="G25" s="198"/>
      <c r="H25" s="223"/>
      <c r="I25" s="224"/>
      <c r="J25" s="200"/>
      <c r="K25" s="201"/>
      <c r="L25" s="202"/>
      <c r="M25" s="203"/>
      <c r="N25" s="204"/>
      <c r="O25" s="224"/>
      <c r="P25" s="205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</row>
    <row r="26" ht="13.5" customHeight="1">
      <c r="A26" s="142" t="s">
        <v>313</v>
      </c>
      <c r="B26" s="184"/>
      <c r="C26" s="196"/>
      <c r="D26" s="196"/>
      <c r="E26" s="196" t="s">
        <v>314</v>
      </c>
      <c r="F26" s="206"/>
      <c r="G26" s="217" t="s">
        <v>168</v>
      </c>
      <c r="H26" s="262"/>
      <c r="I26" s="227">
        <v>46296.0</v>
      </c>
      <c r="J26" s="264">
        <v>46311.0</v>
      </c>
      <c r="K26" s="211">
        <f t="shared" ref="K26:K27" si="10">IF(OR(ISBLANK($I26), ISBLANK($J26)),"",NETWORKDAYS($I26,$J26))</f>
        <v>12</v>
      </c>
      <c r="L26" s="212">
        <f>IF(OR(ISBLANK($I26), ISBLANK($J26)), "", IF('진척율보고서'!$M$4 &lt; $I26, 0, IF('진척율보고서'!$M$4 &gt;= $J26, 1, NETWORKDAYS($I26,'진척율보고서'!$M$4)/$K26)))</f>
        <v>0</v>
      </c>
      <c r="M26" s="213" t="s">
        <v>163</v>
      </c>
      <c r="N26" s="214">
        <f t="shared" ref="N26:N27" si="11">IF($M26="완료",1,IF($M26="PM확인",0.95,IF($M26="PL확인",0.8,IF($M26="테스트",0.7,IF($M26="수행2단계",0.55,IF($M26="수행1단계",0.35,IF($M26="착수",0.2,IF($M26="미착수",0,""))))))))</f>
        <v>0</v>
      </c>
      <c r="O26" s="227"/>
      <c r="P26" s="229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</row>
    <row r="27" ht="14.25" customHeight="1">
      <c r="A27" s="142"/>
      <c r="B27" s="184"/>
      <c r="C27" s="196"/>
      <c r="D27" s="196"/>
      <c r="E27" s="196" t="s">
        <v>315</v>
      </c>
      <c r="F27" s="196"/>
      <c r="G27" s="217" t="s">
        <v>168</v>
      </c>
      <c r="H27" s="262"/>
      <c r="I27" s="227">
        <v>46296.0</v>
      </c>
      <c r="J27" s="227">
        <v>46296.0</v>
      </c>
      <c r="K27" s="211">
        <f t="shared" si="10"/>
        <v>1</v>
      </c>
      <c r="L27" s="212">
        <f>IF(OR(ISBLANK($I27), ISBLANK($J27)), "", IF('진척율보고서'!$M$4 &lt; $I27, 0, IF('진척율보고서'!$M$4 &gt;= $J27, 1, NETWORKDAYS($I27,'진척율보고서'!$M$4)/$K27)))</f>
        <v>0</v>
      </c>
      <c r="M27" s="213" t="s">
        <v>163</v>
      </c>
      <c r="N27" s="214">
        <f t="shared" si="11"/>
        <v>0</v>
      </c>
      <c r="O27" s="227"/>
      <c r="P27" s="229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</row>
    <row r="28" ht="14.25" customHeight="1">
      <c r="A28" s="142"/>
      <c r="B28" s="234"/>
      <c r="C28" s="235"/>
      <c r="D28" s="235"/>
      <c r="E28" s="235"/>
      <c r="F28" s="235"/>
      <c r="G28" s="236"/>
      <c r="H28" s="265"/>
      <c r="I28" s="266"/>
      <c r="J28" s="238"/>
      <c r="K28" s="239"/>
      <c r="L28" s="240"/>
      <c r="M28" s="241"/>
      <c r="N28" s="242"/>
      <c r="O28" s="243"/>
      <c r="P28" s="244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</row>
    <row r="29" ht="13.5" customHeight="1">
      <c r="A29" s="142"/>
      <c r="B29" s="142"/>
      <c r="C29" s="142"/>
      <c r="D29" s="142"/>
      <c r="E29" s="142"/>
      <c r="F29" s="142"/>
      <c r="G29" s="143"/>
      <c r="H29" s="143"/>
      <c r="I29" s="144"/>
      <c r="J29" s="144"/>
      <c r="K29" s="145"/>
      <c r="L29" s="146"/>
      <c r="M29" s="147"/>
      <c r="N29" s="146"/>
      <c r="O29" s="144"/>
      <c r="P29" s="144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ht="13.5" customHeight="1">
      <c r="A30" s="142"/>
      <c r="B30" s="142"/>
      <c r="C30" s="142"/>
      <c r="D30" s="142"/>
      <c r="E30" s="142"/>
      <c r="F30" s="142"/>
      <c r="G30" s="143"/>
      <c r="H30" s="143"/>
      <c r="I30" s="144"/>
      <c r="J30" s="144"/>
      <c r="K30" s="145"/>
      <c r="L30" s="146"/>
      <c r="M30" s="147"/>
      <c r="N30" s="146"/>
      <c r="O30" s="144"/>
      <c r="P30" s="144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ht="13.5" customHeight="1">
      <c r="A31" s="142"/>
      <c r="B31" s="142"/>
      <c r="C31" s="142"/>
      <c r="D31" s="142"/>
      <c r="E31" s="142"/>
      <c r="F31" s="142"/>
      <c r="G31" s="143"/>
      <c r="H31" s="143"/>
      <c r="I31" s="144"/>
      <c r="J31" s="144"/>
      <c r="K31" s="145"/>
      <c r="L31" s="146"/>
      <c r="M31" s="147"/>
      <c r="N31" s="146"/>
      <c r="O31" s="144"/>
      <c r="P31" s="144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</row>
    <row r="32" ht="13.5" customHeight="1">
      <c r="A32" s="142"/>
      <c r="B32" s="142"/>
      <c r="C32" s="142"/>
      <c r="D32" s="142"/>
      <c r="E32" s="142"/>
      <c r="F32" s="142"/>
      <c r="G32" s="143"/>
      <c r="H32" s="143"/>
      <c r="I32" s="144"/>
      <c r="J32" s="144"/>
      <c r="K32" s="145"/>
      <c r="L32" s="146"/>
      <c r="M32" s="147"/>
      <c r="N32" s="146"/>
      <c r="O32" s="144"/>
      <c r="P32" s="144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</row>
    <row r="33" ht="13.5" customHeight="1">
      <c r="A33" s="142"/>
      <c r="B33" s="142"/>
      <c r="C33" s="142"/>
      <c r="D33" s="142"/>
      <c r="E33" s="142"/>
      <c r="F33" s="142"/>
      <c r="G33" s="143"/>
      <c r="H33" s="143"/>
      <c r="I33" s="144"/>
      <c r="J33" s="144"/>
      <c r="K33" s="145"/>
      <c r="L33" s="146"/>
      <c r="M33" s="147"/>
      <c r="N33" s="146"/>
      <c r="O33" s="144"/>
      <c r="P33" s="144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</row>
    <row r="34" ht="13.5" customHeight="1">
      <c r="A34" s="142"/>
      <c r="B34" s="142"/>
      <c r="C34" s="142"/>
      <c r="D34" s="142"/>
      <c r="E34" s="142"/>
      <c r="F34" s="142"/>
      <c r="G34" s="143"/>
      <c r="H34" s="143"/>
      <c r="I34" s="144"/>
      <c r="J34" s="144"/>
      <c r="K34" s="145"/>
      <c r="L34" s="146"/>
      <c r="M34" s="147"/>
      <c r="N34" s="146"/>
      <c r="O34" s="144"/>
      <c r="P34" s="144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</row>
    <row r="35" ht="13.5" customHeight="1">
      <c r="A35" s="142"/>
      <c r="B35" s="142"/>
      <c r="C35" s="142"/>
      <c r="D35" s="142"/>
      <c r="E35" s="142"/>
      <c r="F35" s="142"/>
      <c r="G35" s="143"/>
      <c r="H35" s="143"/>
      <c r="I35" s="144"/>
      <c r="J35" s="144"/>
      <c r="K35" s="145"/>
      <c r="L35" s="146"/>
      <c r="M35" s="147"/>
      <c r="N35" s="146"/>
      <c r="O35" s="144"/>
      <c r="P35" s="144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</row>
    <row r="36" ht="13.5" customHeight="1">
      <c r="A36" s="142"/>
      <c r="B36" s="142"/>
      <c r="C36" s="142"/>
      <c r="D36" s="142"/>
      <c r="E36" s="142"/>
      <c r="F36" s="142"/>
      <c r="G36" s="143"/>
      <c r="H36" s="143"/>
      <c r="I36" s="144"/>
      <c r="J36" s="144"/>
      <c r="K36" s="145"/>
      <c r="L36" s="146"/>
      <c r="M36" s="147"/>
      <c r="N36" s="146"/>
      <c r="O36" s="144"/>
      <c r="P36" s="144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</row>
    <row r="37" ht="13.5" customHeight="1">
      <c r="A37" s="142"/>
      <c r="B37" s="142"/>
      <c r="C37" s="142"/>
      <c r="D37" s="142"/>
      <c r="E37" s="142"/>
      <c r="F37" s="142"/>
      <c r="G37" s="143"/>
      <c r="H37" s="143"/>
      <c r="I37" s="144"/>
      <c r="J37" s="144"/>
      <c r="K37" s="145"/>
      <c r="L37" s="146"/>
      <c r="M37" s="147"/>
      <c r="N37" s="146"/>
      <c r="O37" s="144"/>
      <c r="P37" s="144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ht="13.5" customHeight="1">
      <c r="A38" s="142"/>
      <c r="B38" s="142"/>
      <c r="C38" s="142"/>
      <c r="D38" s="142"/>
      <c r="E38" s="142"/>
      <c r="F38" s="142"/>
      <c r="G38" s="143"/>
      <c r="H38" s="143"/>
      <c r="I38" s="144"/>
      <c r="J38" s="144"/>
      <c r="K38" s="145"/>
      <c r="L38" s="146"/>
      <c r="M38" s="147"/>
      <c r="N38" s="146"/>
      <c r="O38" s="144"/>
      <c r="P38" s="144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</row>
    <row r="39" ht="13.5" customHeight="1">
      <c r="A39" s="142"/>
      <c r="B39" s="142"/>
      <c r="C39" s="142"/>
      <c r="D39" s="142"/>
      <c r="E39" s="142"/>
      <c r="F39" s="142"/>
      <c r="G39" s="143"/>
      <c r="H39" s="143"/>
      <c r="I39" s="144"/>
      <c r="J39" s="144"/>
      <c r="K39" s="145"/>
      <c r="L39" s="146"/>
      <c r="M39" s="147"/>
      <c r="N39" s="146"/>
      <c r="O39" s="144"/>
      <c r="P39" s="144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</row>
    <row r="40" ht="13.5" customHeight="1">
      <c r="A40" s="142"/>
      <c r="B40" s="142"/>
      <c r="C40" s="142"/>
      <c r="D40" s="142"/>
      <c r="E40" s="142"/>
      <c r="F40" s="142"/>
      <c r="G40" s="143"/>
      <c r="H40" s="143"/>
      <c r="I40" s="144"/>
      <c r="J40" s="144"/>
      <c r="K40" s="145"/>
      <c r="L40" s="146"/>
      <c r="M40" s="147"/>
      <c r="N40" s="146"/>
      <c r="O40" s="144"/>
      <c r="P40" s="144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</row>
    <row r="41" ht="13.5" customHeight="1">
      <c r="A41" s="142"/>
      <c r="B41" s="142"/>
      <c r="C41" s="142"/>
      <c r="D41" s="142"/>
      <c r="E41" s="142"/>
      <c r="F41" s="142"/>
      <c r="G41" s="143"/>
      <c r="H41" s="143"/>
      <c r="I41" s="144"/>
      <c r="J41" s="144"/>
      <c r="K41" s="145"/>
      <c r="L41" s="146"/>
      <c r="M41" s="147"/>
      <c r="N41" s="146"/>
      <c r="O41" s="144"/>
      <c r="P41" s="144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</row>
    <row r="42" ht="13.5" customHeight="1">
      <c r="A42" s="142"/>
      <c r="B42" s="142"/>
      <c r="C42" s="142"/>
      <c r="D42" s="142"/>
      <c r="E42" s="142"/>
      <c r="F42" s="142"/>
      <c r="G42" s="143"/>
      <c r="H42" s="143"/>
      <c r="I42" s="144"/>
      <c r="J42" s="144"/>
      <c r="K42" s="145"/>
      <c r="L42" s="146"/>
      <c r="M42" s="147"/>
      <c r="N42" s="146"/>
      <c r="O42" s="144"/>
      <c r="P42" s="144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</row>
    <row r="43" ht="13.5" customHeight="1">
      <c r="A43" s="142"/>
      <c r="B43" s="142"/>
      <c r="C43" s="142"/>
      <c r="D43" s="142"/>
      <c r="E43" s="142"/>
      <c r="F43" s="142"/>
      <c r="G43" s="143"/>
      <c r="H43" s="143"/>
      <c r="I43" s="144"/>
      <c r="J43" s="144"/>
      <c r="K43" s="145"/>
      <c r="L43" s="146"/>
      <c r="M43" s="147"/>
      <c r="N43" s="146"/>
      <c r="O43" s="144"/>
      <c r="P43" s="144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</row>
    <row r="44" ht="13.5" customHeight="1">
      <c r="A44" s="142"/>
      <c r="B44" s="142"/>
      <c r="C44" s="142"/>
      <c r="D44" s="142"/>
      <c r="E44" s="142"/>
      <c r="F44" s="142"/>
      <c r="G44" s="143"/>
      <c r="H44" s="143"/>
      <c r="I44" s="144"/>
      <c r="J44" s="144"/>
      <c r="K44" s="145"/>
      <c r="L44" s="146"/>
      <c r="M44" s="147"/>
      <c r="N44" s="146"/>
      <c r="O44" s="144"/>
      <c r="P44" s="144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</row>
    <row r="45" ht="13.5" customHeight="1">
      <c r="A45" s="142"/>
      <c r="B45" s="142"/>
      <c r="C45" s="142"/>
      <c r="D45" s="142"/>
      <c r="E45" s="142"/>
      <c r="F45" s="142"/>
      <c r="G45" s="143"/>
      <c r="H45" s="143"/>
      <c r="I45" s="144"/>
      <c r="J45" s="144"/>
      <c r="K45" s="145"/>
      <c r="L45" s="146"/>
      <c r="M45" s="147"/>
      <c r="N45" s="146"/>
      <c r="O45" s="144"/>
      <c r="P45" s="144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</row>
    <row r="46" ht="13.5" customHeight="1">
      <c r="A46" s="142"/>
      <c r="B46" s="142"/>
      <c r="C46" s="142"/>
      <c r="D46" s="142"/>
      <c r="E46" s="142"/>
      <c r="F46" s="142"/>
      <c r="G46" s="143"/>
      <c r="H46" s="143"/>
      <c r="I46" s="144"/>
      <c r="J46" s="144"/>
      <c r="K46" s="145"/>
      <c r="L46" s="146"/>
      <c r="M46" s="147"/>
      <c r="N46" s="146"/>
      <c r="O46" s="144"/>
      <c r="P46" s="144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</row>
    <row r="47" ht="13.5" customHeight="1">
      <c r="A47" s="142"/>
      <c r="B47" s="142"/>
      <c r="C47" s="142"/>
      <c r="D47" s="142"/>
      <c r="E47" s="142"/>
      <c r="F47" s="142"/>
      <c r="G47" s="143"/>
      <c r="H47" s="143"/>
      <c r="I47" s="144"/>
      <c r="J47" s="144"/>
      <c r="K47" s="145"/>
      <c r="L47" s="146"/>
      <c r="M47" s="147"/>
      <c r="N47" s="146"/>
      <c r="O47" s="144"/>
      <c r="P47" s="144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</row>
    <row r="48" ht="13.5" customHeight="1">
      <c r="A48" s="142"/>
      <c r="B48" s="142"/>
      <c r="C48" s="142"/>
      <c r="D48" s="142"/>
      <c r="E48" s="142"/>
      <c r="F48" s="142"/>
      <c r="G48" s="143"/>
      <c r="H48" s="143"/>
      <c r="I48" s="144"/>
      <c r="J48" s="144"/>
      <c r="K48" s="145"/>
      <c r="L48" s="146"/>
      <c r="M48" s="147"/>
      <c r="N48" s="146"/>
      <c r="O48" s="144"/>
      <c r="P48" s="144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</row>
    <row r="49" ht="13.5" customHeight="1">
      <c r="A49" s="142"/>
      <c r="B49" s="142"/>
      <c r="C49" s="142"/>
      <c r="D49" s="142"/>
      <c r="E49" s="142"/>
      <c r="F49" s="142"/>
      <c r="G49" s="143"/>
      <c r="H49" s="143"/>
      <c r="I49" s="144"/>
      <c r="J49" s="144"/>
      <c r="K49" s="145"/>
      <c r="L49" s="146"/>
      <c r="M49" s="147"/>
      <c r="N49" s="146"/>
      <c r="O49" s="144"/>
      <c r="P49" s="144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ht="13.5" customHeight="1">
      <c r="A50" s="142"/>
      <c r="B50" s="142"/>
      <c r="C50" s="142"/>
      <c r="D50" s="142"/>
      <c r="E50" s="142"/>
      <c r="F50" s="142"/>
      <c r="G50" s="143"/>
      <c r="H50" s="143"/>
      <c r="I50" s="144"/>
      <c r="J50" s="144"/>
      <c r="K50" s="145"/>
      <c r="L50" s="146"/>
      <c r="M50" s="147"/>
      <c r="N50" s="146"/>
      <c r="O50" s="144"/>
      <c r="P50" s="144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</row>
    <row r="51" ht="13.5" customHeight="1">
      <c r="A51" s="142"/>
      <c r="B51" s="142"/>
      <c r="C51" s="142"/>
      <c r="D51" s="142"/>
      <c r="E51" s="142"/>
      <c r="F51" s="142"/>
      <c r="G51" s="143"/>
      <c r="H51" s="143"/>
      <c r="I51" s="144"/>
      <c r="J51" s="144"/>
      <c r="K51" s="145"/>
      <c r="L51" s="146"/>
      <c r="M51" s="147"/>
      <c r="N51" s="146"/>
      <c r="O51" s="144"/>
      <c r="P51" s="144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</row>
    <row r="52" ht="13.5" customHeight="1">
      <c r="A52" s="142"/>
      <c r="B52" s="142"/>
      <c r="C52" s="142"/>
      <c r="D52" s="142"/>
      <c r="E52" s="142"/>
      <c r="F52" s="142"/>
      <c r="G52" s="143"/>
      <c r="H52" s="143"/>
      <c r="I52" s="144"/>
      <c r="J52" s="144"/>
      <c r="K52" s="145"/>
      <c r="L52" s="146"/>
      <c r="M52" s="147"/>
      <c r="N52" s="146"/>
      <c r="O52" s="144"/>
      <c r="P52" s="144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ht="13.5" customHeight="1">
      <c r="A53" s="142"/>
      <c r="B53" s="142"/>
      <c r="C53" s="142"/>
      <c r="D53" s="142"/>
      <c r="E53" s="142"/>
      <c r="F53" s="142"/>
      <c r="G53" s="143"/>
      <c r="H53" s="143"/>
      <c r="I53" s="144"/>
      <c r="J53" s="144"/>
      <c r="K53" s="145"/>
      <c r="L53" s="146"/>
      <c r="M53" s="147"/>
      <c r="N53" s="146"/>
      <c r="O53" s="144"/>
      <c r="P53" s="144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</row>
    <row r="54" ht="13.5" customHeight="1">
      <c r="A54" s="142"/>
      <c r="B54" s="142"/>
      <c r="C54" s="142"/>
      <c r="D54" s="142"/>
      <c r="E54" s="142"/>
      <c r="F54" s="142"/>
      <c r="G54" s="143"/>
      <c r="H54" s="143"/>
      <c r="I54" s="144"/>
      <c r="J54" s="144"/>
      <c r="K54" s="145"/>
      <c r="L54" s="146"/>
      <c r="M54" s="147"/>
      <c r="N54" s="146"/>
      <c r="O54" s="144"/>
      <c r="P54" s="144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</row>
    <row r="55" ht="13.5" customHeight="1">
      <c r="A55" s="142"/>
      <c r="B55" s="142"/>
      <c r="C55" s="142"/>
      <c r="D55" s="142"/>
      <c r="E55" s="142"/>
      <c r="F55" s="142"/>
      <c r="G55" s="143"/>
      <c r="H55" s="143"/>
      <c r="I55" s="144"/>
      <c r="J55" s="144"/>
      <c r="K55" s="145"/>
      <c r="L55" s="146"/>
      <c r="M55" s="147"/>
      <c r="N55" s="146"/>
      <c r="O55" s="144"/>
      <c r="P55" s="144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</row>
    <row r="56" ht="13.5" customHeight="1">
      <c r="A56" s="142"/>
      <c r="B56" s="142"/>
      <c r="C56" s="142"/>
      <c r="D56" s="142"/>
      <c r="E56" s="142"/>
      <c r="F56" s="142"/>
      <c r="G56" s="143"/>
      <c r="H56" s="143"/>
      <c r="I56" s="144"/>
      <c r="J56" s="144"/>
      <c r="K56" s="145"/>
      <c r="L56" s="146"/>
      <c r="M56" s="147"/>
      <c r="N56" s="146"/>
      <c r="O56" s="144"/>
      <c r="P56" s="144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</row>
    <row r="57" ht="13.5" customHeight="1">
      <c r="A57" s="142"/>
      <c r="B57" s="142"/>
      <c r="C57" s="142"/>
      <c r="D57" s="142"/>
      <c r="E57" s="142"/>
      <c r="F57" s="142"/>
      <c r="G57" s="143"/>
      <c r="H57" s="143"/>
      <c r="I57" s="144"/>
      <c r="J57" s="144"/>
      <c r="K57" s="145"/>
      <c r="L57" s="146"/>
      <c r="M57" s="147"/>
      <c r="N57" s="146"/>
      <c r="O57" s="144"/>
      <c r="P57" s="144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</row>
    <row r="58" ht="13.5" customHeight="1">
      <c r="A58" s="142"/>
      <c r="B58" s="142"/>
      <c r="C58" s="142"/>
      <c r="D58" s="142"/>
      <c r="E58" s="142"/>
      <c r="F58" s="142"/>
      <c r="G58" s="143"/>
      <c r="H58" s="143"/>
      <c r="I58" s="144"/>
      <c r="J58" s="144"/>
      <c r="K58" s="145"/>
      <c r="L58" s="146"/>
      <c r="M58" s="147"/>
      <c r="N58" s="146"/>
      <c r="O58" s="144"/>
      <c r="P58" s="144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</row>
    <row r="59" ht="13.5" customHeight="1">
      <c r="A59" s="142"/>
      <c r="B59" s="142"/>
      <c r="C59" s="142"/>
      <c r="D59" s="142"/>
      <c r="E59" s="142"/>
      <c r="F59" s="142"/>
      <c r="G59" s="143"/>
      <c r="H59" s="143"/>
      <c r="I59" s="144"/>
      <c r="J59" s="144"/>
      <c r="K59" s="145"/>
      <c r="L59" s="146"/>
      <c r="M59" s="147"/>
      <c r="N59" s="146"/>
      <c r="O59" s="144"/>
      <c r="P59" s="144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ht="13.5" customHeight="1">
      <c r="A60" s="142"/>
      <c r="B60" s="142"/>
      <c r="C60" s="142"/>
      <c r="D60" s="142"/>
      <c r="E60" s="142"/>
      <c r="F60" s="142"/>
      <c r="G60" s="143"/>
      <c r="H60" s="143"/>
      <c r="I60" s="144"/>
      <c r="J60" s="144"/>
      <c r="K60" s="145"/>
      <c r="L60" s="146"/>
      <c r="M60" s="147"/>
      <c r="N60" s="146"/>
      <c r="O60" s="144"/>
      <c r="P60" s="144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</row>
    <row r="61" ht="13.5" customHeight="1">
      <c r="A61" s="142"/>
      <c r="B61" s="142"/>
      <c r="C61" s="142"/>
      <c r="D61" s="142"/>
      <c r="E61" s="142"/>
      <c r="F61" s="142"/>
      <c r="G61" s="143"/>
      <c r="H61" s="143"/>
      <c r="I61" s="144"/>
      <c r="J61" s="144"/>
      <c r="K61" s="145"/>
      <c r="L61" s="146"/>
      <c r="M61" s="147"/>
      <c r="N61" s="146"/>
      <c r="O61" s="144"/>
      <c r="P61" s="144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</row>
    <row r="62" ht="13.5" customHeight="1">
      <c r="A62" s="142"/>
      <c r="B62" s="142"/>
      <c r="C62" s="142"/>
      <c r="D62" s="142"/>
      <c r="E62" s="142"/>
      <c r="F62" s="142"/>
      <c r="G62" s="143"/>
      <c r="H62" s="143"/>
      <c r="I62" s="144"/>
      <c r="J62" s="144"/>
      <c r="K62" s="145"/>
      <c r="L62" s="146"/>
      <c r="M62" s="147"/>
      <c r="N62" s="146"/>
      <c r="O62" s="144"/>
      <c r="P62" s="144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</row>
    <row r="63" ht="13.5" customHeight="1">
      <c r="A63" s="142"/>
      <c r="B63" s="142"/>
      <c r="C63" s="142"/>
      <c r="D63" s="142"/>
      <c r="E63" s="142"/>
      <c r="F63" s="142"/>
      <c r="G63" s="143"/>
      <c r="H63" s="143"/>
      <c r="I63" s="144"/>
      <c r="J63" s="144"/>
      <c r="K63" s="145"/>
      <c r="L63" s="146"/>
      <c r="M63" s="147"/>
      <c r="N63" s="146"/>
      <c r="O63" s="144"/>
      <c r="P63" s="144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</row>
    <row r="64" ht="13.5" customHeight="1">
      <c r="A64" s="142"/>
      <c r="B64" s="142"/>
      <c r="C64" s="142"/>
      <c r="D64" s="142"/>
      <c r="E64" s="142"/>
      <c r="F64" s="142"/>
      <c r="G64" s="143"/>
      <c r="H64" s="143"/>
      <c r="I64" s="144"/>
      <c r="J64" s="144"/>
      <c r="K64" s="145"/>
      <c r="L64" s="146"/>
      <c r="M64" s="147"/>
      <c r="N64" s="146"/>
      <c r="O64" s="144"/>
      <c r="P64" s="144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</row>
    <row r="65" ht="13.5" customHeight="1">
      <c r="A65" s="142"/>
      <c r="B65" s="142"/>
      <c r="C65" s="142"/>
      <c r="D65" s="142"/>
      <c r="E65" s="142"/>
      <c r="F65" s="142"/>
      <c r="G65" s="143"/>
      <c r="H65" s="143"/>
      <c r="I65" s="144"/>
      <c r="J65" s="144"/>
      <c r="K65" s="145"/>
      <c r="L65" s="146"/>
      <c r="M65" s="147"/>
      <c r="N65" s="146"/>
      <c r="O65" s="144"/>
      <c r="P65" s="144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</row>
    <row r="66" ht="13.5" customHeight="1">
      <c r="A66" s="142"/>
      <c r="B66" s="142"/>
      <c r="C66" s="142"/>
      <c r="D66" s="142"/>
      <c r="E66" s="142"/>
      <c r="F66" s="142"/>
      <c r="G66" s="143"/>
      <c r="H66" s="143"/>
      <c r="I66" s="144"/>
      <c r="J66" s="144"/>
      <c r="K66" s="145"/>
      <c r="L66" s="146"/>
      <c r="M66" s="147"/>
      <c r="N66" s="146"/>
      <c r="O66" s="144"/>
      <c r="P66" s="144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</row>
    <row r="67" ht="13.5" customHeight="1">
      <c r="A67" s="142"/>
      <c r="B67" s="142"/>
      <c r="C67" s="142"/>
      <c r="D67" s="142"/>
      <c r="E67" s="142"/>
      <c r="F67" s="142"/>
      <c r="G67" s="143"/>
      <c r="H67" s="143"/>
      <c r="I67" s="144"/>
      <c r="J67" s="144"/>
      <c r="K67" s="145"/>
      <c r="L67" s="146"/>
      <c r="M67" s="147"/>
      <c r="N67" s="146"/>
      <c r="O67" s="144"/>
      <c r="P67" s="144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</row>
    <row r="68" ht="13.5" customHeight="1">
      <c r="A68" s="142"/>
      <c r="B68" s="142"/>
      <c r="C68" s="142"/>
      <c r="D68" s="142"/>
      <c r="E68" s="142"/>
      <c r="F68" s="142"/>
      <c r="G68" s="143"/>
      <c r="H68" s="143"/>
      <c r="I68" s="144"/>
      <c r="J68" s="144"/>
      <c r="K68" s="145"/>
      <c r="L68" s="146"/>
      <c r="M68" s="147"/>
      <c r="N68" s="146"/>
      <c r="O68" s="144"/>
      <c r="P68" s="144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</row>
    <row r="69" ht="13.5" customHeight="1">
      <c r="A69" s="142"/>
      <c r="B69" s="142"/>
      <c r="C69" s="142"/>
      <c r="D69" s="142"/>
      <c r="E69" s="142"/>
      <c r="F69" s="142"/>
      <c r="G69" s="143"/>
      <c r="H69" s="143"/>
      <c r="I69" s="144"/>
      <c r="J69" s="144"/>
      <c r="K69" s="145"/>
      <c r="L69" s="146"/>
      <c r="M69" s="147"/>
      <c r="N69" s="146"/>
      <c r="O69" s="144"/>
      <c r="P69" s="144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</row>
    <row r="70" ht="13.5" customHeight="1">
      <c r="A70" s="142"/>
      <c r="B70" s="142"/>
      <c r="C70" s="142"/>
      <c r="D70" s="142"/>
      <c r="E70" s="142"/>
      <c r="F70" s="142"/>
      <c r="G70" s="143"/>
      <c r="H70" s="143"/>
      <c r="I70" s="144"/>
      <c r="J70" s="144"/>
      <c r="K70" s="145"/>
      <c r="L70" s="146"/>
      <c r="M70" s="147"/>
      <c r="N70" s="146"/>
      <c r="O70" s="144"/>
      <c r="P70" s="144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</row>
    <row r="71" ht="13.5" customHeight="1">
      <c r="A71" s="142"/>
      <c r="B71" s="142"/>
      <c r="C71" s="142"/>
      <c r="D71" s="142"/>
      <c r="E71" s="142"/>
      <c r="F71" s="142"/>
      <c r="G71" s="143"/>
      <c r="H71" s="143"/>
      <c r="I71" s="144"/>
      <c r="J71" s="144"/>
      <c r="K71" s="145"/>
      <c r="L71" s="146"/>
      <c r="M71" s="147"/>
      <c r="N71" s="146"/>
      <c r="O71" s="144"/>
      <c r="P71" s="144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</row>
    <row r="72" ht="13.5" customHeight="1">
      <c r="A72" s="142"/>
      <c r="B72" s="142"/>
      <c r="C72" s="142"/>
      <c r="D72" s="142"/>
      <c r="E72" s="142"/>
      <c r="F72" s="142"/>
      <c r="G72" s="143"/>
      <c r="H72" s="143"/>
      <c r="I72" s="144"/>
      <c r="J72" s="144"/>
      <c r="K72" s="145"/>
      <c r="L72" s="146"/>
      <c r="M72" s="147"/>
      <c r="N72" s="146"/>
      <c r="O72" s="144"/>
      <c r="P72" s="144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</row>
    <row r="73" ht="13.5" customHeight="1">
      <c r="A73" s="142"/>
      <c r="B73" s="142"/>
      <c r="C73" s="142"/>
      <c r="D73" s="142"/>
      <c r="E73" s="142"/>
      <c r="F73" s="142"/>
      <c r="G73" s="143"/>
      <c r="H73" s="143"/>
      <c r="I73" s="144"/>
      <c r="J73" s="144"/>
      <c r="K73" s="145"/>
      <c r="L73" s="146"/>
      <c r="M73" s="147"/>
      <c r="N73" s="146"/>
      <c r="O73" s="144"/>
      <c r="P73" s="144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</row>
    <row r="74" ht="13.5" customHeight="1">
      <c r="A74" s="142"/>
      <c r="B74" s="142"/>
      <c r="C74" s="142"/>
      <c r="D74" s="142"/>
      <c r="E74" s="142"/>
      <c r="F74" s="142"/>
      <c r="G74" s="143"/>
      <c r="H74" s="143"/>
      <c r="I74" s="144"/>
      <c r="J74" s="144"/>
      <c r="K74" s="145"/>
      <c r="L74" s="146"/>
      <c r="M74" s="147"/>
      <c r="N74" s="146"/>
      <c r="O74" s="144"/>
      <c r="P74" s="144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</row>
    <row r="75" ht="13.5" customHeight="1">
      <c r="A75" s="142"/>
      <c r="B75" s="142"/>
      <c r="C75" s="142"/>
      <c r="D75" s="142"/>
      <c r="E75" s="142"/>
      <c r="F75" s="142"/>
      <c r="G75" s="143"/>
      <c r="H75" s="143"/>
      <c r="I75" s="144"/>
      <c r="J75" s="144"/>
      <c r="K75" s="145"/>
      <c r="L75" s="146"/>
      <c r="M75" s="147"/>
      <c r="N75" s="146"/>
      <c r="O75" s="144"/>
      <c r="P75" s="144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</row>
    <row r="76" ht="13.5" customHeight="1">
      <c r="A76" s="142"/>
      <c r="B76" s="142"/>
      <c r="C76" s="142"/>
      <c r="D76" s="142"/>
      <c r="E76" s="142"/>
      <c r="F76" s="142"/>
      <c r="G76" s="143"/>
      <c r="H76" s="143"/>
      <c r="I76" s="144"/>
      <c r="J76" s="144"/>
      <c r="K76" s="145"/>
      <c r="L76" s="146"/>
      <c r="M76" s="147"/>
      <c r="N76" s="146"/>
      <c r="O76" s="144"/>
      <c r="P76" s="144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</row>
    <row r="77" ht="13.5" customHeight="1">
      <c r="A77" s="142"/>
      <c r="B77" s="142"/>
      <c r="C77" s="142"/>
      <c r="D77" s="142"/>
      <c r="E77" s="142"/>
      <c r="F77" s="142"/>
      <c r="G77" s="143"/>
      <c r="H77" s="143"/>
      <c r="I77" s="144"/>
      <c r="J77" s="144"/>
      <c r="K77" s="145"/>
      <c r="L77" s="146"/>
      <c r="M77" s="147"/>
      <c r="N77" s="146"/>
      <c r="O77" s="144"/>
      <c r="P77" s="144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</row>
    <row r="78" ht="13.5" customHeight="1">
      <c r="A78" s="142"/>
      <c r="B78" s="142"/>
      <c r="C78" s="142"/>
      <c r="D78" s="142"/>
      <c r="E78" s="142"/>
      <c r="F78" s="142"/>
      <c r="G78" s="143"/>
      <c r="H78" s="143"/>
      <c r="I78" s="144"/>
      <c r="J78" s="144"/>
      <c r="K78" s="145"/>
      <c r="L78" s="146"/>
      <c r="M78" s="147"/>
      <c r="N78" s="146"/>
      <c r="O78" s="144"/>
      <c r="P78" s="144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</row>
    <row r="79" ht="13.5" customHeight="1">
      <c r="A79" s="142"/>
      <c r="B79" s="142"/>
      <c r="C79" s="142"/>
      <c r="D79" s="142"/>
      <c r="E79" s="142"/>
      <c r="F79" s="142"/>
      <c r="G79" s="143"/>
      <c r="H79" s="143"/>
      <c r="I79" s="144"/>
      <c r="J79" s="144"/>
      <c r="K79" s="145"/>
      <c r="L79" s="146"/>
      <c r="M79" s="147"/>
      <c r="N79" s="146"/>
      <c r="O79" s="144"/>
      <c r="P79" s="144"/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</row>
    <row r="80" ht="13.5" customHeight="1">
      <c r="A80" s="142"/>
      <c r="B80" s="142"/>
      <c r="C80" s="142"/>
      <c r="D80" s="142"/>
      <c r="E80" s="142"/>
      <c r="F80" s="142"/>
      <c r="G80" s="143"/>
      <c r="H80" s="143"/>
      <c r="I80" s="144"/>
      <c r="J80" s="144"/>
      <c r="K80" s="145"/>
      <c r="L80" s="146"/>
      <c r="M80" s="147"/>
      <c r="N80" s="146"/>
      <c r="O80" s="144"/>
      <c r="P80" s="144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</row>
    <row r="81" ht="13.5" customHeight="1">
      <c r="A81" s="142"/>
      <c r="B81" s="142"/>
      <c r="C81" s="142"/>
      <c r="D81" s="142"/>
      <c r="E81" s="142"/>
      <c r="F81" s="142"/>
      <c r="G81" s="143"/>
      <c r="H81" s="143"/>
      <c r="I81" s="144"/>
      <c r="J81" s="144"/>
      <c r="K81" s="145"/>
      <c r="L81" s="146"/>
      <c r="M81" s="147"/>
      <c r="N81" s="146"/>
      <c r="O81" s="144"/>
      <c r="P81" s="144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</row>
    <row r="82" ht="13.5" customHeight="1">
      <c r="A82" s="142"/>
      <c r="B82" s="142"/>
      <c r="C82" s="142"/>
      <c r="D82" s="142"/>
      <c r="E82" s="142"/>
      <c r="F82" s="142"/>
      <c r="G82" s="143"/>
      <c r="H82" s="143"/>
      <c r="I82" s="144"/>
      <c r="J82" s="144"/>
      <c r="K82" s="145"/>
      <c r="L82" s="146"/>
      <c r="M82" s="147"/>
      <c r="N82" s="146"/>
      <c r="O82" s="144"/>
      <c r="P82" s="144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</row>
    <row r="83" ht="13.5" customHeight="1">
      <c r="A83" s="142"/>
      <c r="B83" s="142"/>
      <c r="C83" s="142"/>
      <c r="D83" s="142"/>
      <c r="E83" s="142"/>
      <c r="F83" s="142"/>
      <c r="G83" s="143"/>
      <c r="H83" s="143"/>
      <c r="I83" s="144"/>
      <c r="J83" s="144"/>
      <c r="K83" s="145"/>
      <c r="L83" s="146"/>
      <c r="M83" s="147"/>
      <c r="N83" s="146"/>
      <c r="O83" s="144"/>
      <c r="P83" s="144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</row>
    <row r="84" ht="13.5" customHeight="1">
      <c r="A84" s="142"/>
      <c r="B84" s="142"/>
      <c r="C84" s="142"/>
      <c r="D84" s="142"/>
      <c r="E84" s="142"/>
      <c r="F84" s="142"/>
      <c r="G84" s="143"/>
      <c r="H84" s="143"/>
      <c r="I84" s="144"/>
      <c r="J84" s="144"/>
      <c r="K84" s="145"/>
      <c r="L84" s="146"/>
      <c r="M84" s="147"/>
      <c r="N84" s="146"/>
      <c r="O84" s="144"/>
      <c r="P84" s="144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</row>
    <row r="85" ht="13.5" customHeight="1">
      <c r="A85" s="142"/>
      <c r="B85" s="142"/>
      <c r="C85" s="142"/>
      <c r="D85" s="142"/>
      <c r="E85" s="142"/>
      <c r="F85" s="142"/>
      <c r="G85" s="143"/>
      <c r="H85" s="143"/>
      <c r="I85" s="144"/>
      <c r="J85" s="144"/>
      <c r="K85" s="145"/>
      <c r="L85" s="146"/>
      <c r="M85" s="147"/>
      <c r="N85" s="146"/>
      <c r="O85" s="144"/>
      <c r="P85" s="144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</row>
    <row r="86" ht="13.5" customHeight="1">
      <c r="A86" s="142"/>
      <c r="B86" s="142"/>
      <c r="C86" s="142"/>
      <c r="D86" s="142"/>
      <c r="E86" s="142"/>
      <c r="F86" s="142"/>
      <c r="G86" s="143"/>
      <c r="H86" s="143"/>
      <c r="I86" s="144"/>
      <c r="J86" s="144"/>
      <c r="K86" s="145"/>
      <c r="L86" s="146"/>
      <c r="M86" s="147"/>
      <c r="N86" s="146"/>
      <c r="O86" s="144"/>
      <c r="P86" s="144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</row>
    <row r="87" ht="13.5" customHeight="1">
      <c r="A87" s="142"/>
      <c r="B87" s="142"/>
      <c r="C87" s="142"/>
      <c r="D87" s="142"/>
      <c r="E87" s="142"/>
      <c r="F87" s="142"/>
      <c r="G87" s="143"/>
      <c r="H87" s="143"/>
      <c r="I87" s="144"/>
      <c r="J87" s="144"/>
      <c r="K87" s="145"/>
      <c r="L87" s="146"/>
      <c r="M87" s="147"/>
      <c r="N87" s="146"/>
      <c r="O87" s="144"/>
      <c r="P87" s="144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</row>
    <row r="88" ht="13.5" customHeight="1">
      <c r="A88" s="142"/>
      <c r="B88" s="142"/>
      <c r="C88" s="142"/>
      <c r="D88" s="142"/>
      <c r="E88" s="142"/>
      <c r="F88" s="142"/>
      <c r="G88" s="143"/>
      <c r="H88" s="143"/>
      <c r="I88" s="144"/>
      <c r="J88" s="144"/>
      <c r="K88" s="145"/>
      <c r="L88" s="146"/>
      <c r="M88" s="147"/>
      <c r="N88" s="146"/>
      <c r="O88" s="144"/>
      <c r="P88" s="144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</row>
    <row r="89" ht="13.5" customHeight="1">
      <c r="A89" s="142"/>
      <c r="B89" s="142"/>
      <c r="C89" s="142"/>
      <c r="D89" s="142"/>
      <c r="E89" s="142"/>
      <c r="F89" s="142"/>
      <c r="G89" s="143"/>
      <c r="H89" s="143"/>
      <c r="I89" s="144"/>
      <c r="J89" s="144"/>
      <c r="K89" s="145"/>
      <c r="L89" s="146"/>
      <c r="M89" s="147"/>
      <c r="N89" s="146"/>
      <c r="O89" s="144"/>
      <c r="P89" s="144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</row>
    <row r="90" ht="13.5" customHeight="1">
      <c r="A90" s="142"/>
      <c r="B90" s="142"/>
      <c r="C90" s="142"/>
      <c r="D90" s="142"/>
      <c r="E90" s="142"/>
      <c r="F90" s="142"/>
      <c r="G90" s="143"/>
      <c r="H90" s="143"/>
      <c r="I90" s="144"/>
      <c r="J90" s="144"/>
      <c r="K90" s="145"/>
      <c r="L90" s="146"/>
      <c r="M90" s="147"/>
      <c r="N90" s="146"/>
      <c r="O90" s="144"/>
      <c r="P90" s="144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</row>
    <row r="91" ht="13.5" customHeight="1">
      <c r="A91" s="142"/>
      <c r="B91" s="142"/>
      <c r="C91" s="142"/>
      <c r="D91" s="142"/>
      <c r="E91" s="142"/>
      <c r="F91" s="142"/>
      <c r="G91" s="143"/>
      <c r="H91" s="143"/>
      <c r="I91" s="144"/>
      <c r="J91" s="144"/>
      <c r="K91" s="145"/>
      <c r="L91" s="146"/>
      <c r="M91" s="147"/>
      <c r="N91" s="146"/>
      <c r="O91" s="144"/>
      <c r="P91" s="144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</row>
    <row r="92" ht="13.5" customHeight="1">
      <c r="A92" s="142"/>
      <c r="B92" s="142"/>
      <c r="C92" s="142"/>
      <c r="D92" s="142"/>
      <c r="E92" s="142"/>
      <c r="F92" s="142"/>
      <c r="G92" s="143"/>
      <c r="H92" s="143"/>
      <c r="I92" s="144"/>
      <c r="J92" s="144"/>
      <c r="K92" s="145"/>
      <c r="L92" s="146"/>
      <c r="M92" s="147"/>
      <c r="N92" s="146"/>
      <c r="O92" s="144"/>
      <c r="P92" s="144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</row>
    <row r="93" ht="13.5" customHeight="1">
      <c r="A93" s="142"/>
      <c r="B93" s="142"/>
      <c r="C93" s="142"/>
      <c r="D93" s="142"/>
      <c r="E93" s="142"/>
      <c r="F93" s="142"/>
      <c r="G93" s="143"/>
      <c r="H93" s="143"/>
      <c r="I93" s="144"/>
      <c r="J93" s="144"/>
      <c r="K93" s="145"/>
      <c r="L93" s="146"/>
      <c r="M93" s="147"/>
      <c r="N93" s="146"/>
      <c r="O93" s="144"/>
      <c r="P93" s="144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</row>
    <row r="94" ht="13.5" customHeight="1">
      <c r="A94" s="142"/>
      <c r="B94" s="142"/>
      <c r="C94" s="142"/>
      <c r="D94" s="142"/>
      <c r="E94" s="142"/>
      <c r="F94" s="142"/>
      <c r="G94" s="143"/>
      <c r="H94" s="143"/>
      <c r="I94" s="144"/>
      <c r="J94" s="144"/>
      <c r="K94" s="145"/>
      <c r="L94" s="146"/>
      <c r="M94" s="147"/>
      <c r="N94" s="146"/>
      <c r="O94" s="144"/>
      <c r="P94" s="144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</row>
    <row r="95" ht="13.5" customHeight="1">
      <c r="A95" s="142"/>
      <c r="B95" s="142"/>
      <c r="C95" s="142"/>
      <c r="D95" s="142"/>
      <c r="E95" s="142"/>
      <c r="F95" s="142"/>
      <c r="G95" s="143"/>
      <c r="H95" s="143"/>
      <c r="I95" s="144"/>
      <c r="J95" s="144"/>
      <c r="K95" s="145"/>
      <c r="L95" s="146"/>
      <c r="M95" s="147"/>
      <c r="N95" s="146"/>
      <c r="O95" s="144"/>
      <c r="P95" s="144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</row>
    <row r="96" ht="13.5" customHeight="1">
      <c r="A96" s="142"/>
      <c r="B96" s="142"/>
      <c r="C96" s="142"/>
      <c r="D96" s="142"/>
      <c r="E96" s="142"/>
      <c r="F96" s="142"/>
      <c r="G96" s="143"/>
      <c r="H96" s="143"/>
      <c r="I96" s="144"/>
      <c r="J96" s="144"/>
      <c r="K96" s="145"/>
      <c r="L96" s="146"/>
      <c r="M96" s="147"/>
      <c r="N96" s="146"/>
      <c r="O96" s="144"/>
      <c r="P96" s="144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</row>
    <row r="97" ht="13.5" customHeight="1">
      <c r="A97" s="142"/>
      <c r="B97" s="142"/>
      <c r="C97" s="142"/>
      <c r="D97" s="142"/>
      <c r="E97" s="142"/>
      <c r="F97" s="142"/>
      <c r="G97" s="143"/>
      <c r="H97" s="143"/>
      <c r="I97" s="144"/>
      <c r="J97" s="144"/>
      <c r="K97" s="145"/>
      <c r="L97" s="146"/>
      <c r="M97" s="147"/>
      <c r="N97" s="146"/>
      <c r="O97" s="144"/>
      <c r="P97" s="144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</row>
    <row r="98" ht="13.5" customHeight="1">
      <c r="A98" s="142"/>
      <c r="B98" s="142"/>
      <c r="C98" s="142"/>
      <c r="D98" s="142"/>
      <c r="E98" s="142"/>
      <c r="F98" s="142"/>
      <c r="G98" s="143"/>
      <c r="H98" s="143"/>
      <c r="I98" s="144"/>
      <c r="J98" s="144"/>
      <c r="K98" s="145"/>
      <c r="L98" s="146"/>
      <c r="M98" s="147"/>
      <c r="N98" s="146"/>
      <c r="O98" s="144"/>
      <c r="P98" s="144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</row>
    <row r="99" ht="13.5" customHeight="1">
      <c r="A99" s="142"/>
      <c r="B99" s="142"/>
      <c r="C99" s="142"/>
      <c r="D99" s="142"/>
      <c r="E99" s="142"/>
      <c r="F99" s="142"/>
      <c r="G99" s="143"/>
      <c r="H99" s="143"/>
      <c r="I99" s="144"/>
      <c r="J99" s="144"/>
      <c r="K99" s="145"/>
      <c r="L99" s="146"/>
      <c r="M99" s="147"/>
      <c r="N99" s="146"/>
      <c r="O99" s="144"/>
      <c r="P99" s="144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</row>
    <row r="100" ht="13.5" customHeight="1">
      <c r="A100" s="142"/>
      <c r="B100" s="142"/>
      <c r="C100" s="142"/>
      <c r="D100" s="142"/>
      <c r="E100" s="142"/>
      <c r="F100" s="142"/>
      <c r="G100" s="143"/>
      <c r="H100" s="143"/>
      <c r="I100" s="144"/>
      <c r="J100" s="144"/>
      <c r="K100" s="145"/>
      <c r="L100" s="146"/>
      <c r="M100" s="147"/>
      <c r="N100" s="146"/>
      <c r="O100" s="144"/>
      <c r="P100" s="144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</row>
    <row r="101" ht="13.5" customHeight="1">
      <c r="A101" s="142"/>
      <c r="B101" s="142"/>
      <c r="C101" s="142"/>
      <c r="D101" s="142"/>
      <c r="E101" s="142"/>
      <c r="F101" s="142"/>
      <c r="G101" s="143"/>
      <c r="H101" s="143"/>
      <c r="I101" s="144"/>
      <c r="J101" s="144"/>
      <c r="K101" s="145"/>
      <c r="L101" s="146"/>
      <c r="M101" s="147"/>
      <c r="N101" s="146"/>
      <c r="O101" s="144"/>
      <c r="P101" s="144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</row>
    <row r="102" ht="13.5" customHeight="1">
      <c r="A102" s="142"/>
      <c r="B102" s="142"/>
      <c r="C102" s="142"/>
      <c r="D102" s="142"/>
      <c r="E102" s="142"/>
      <c r="F102" s="142"/>
      <c r="G102" s="143"/>
      <c r="H102" s="143"/>
      <c r="I102" s="144"/>
      <c r="J102" s="144"/>
      <c r="K102" s="145"/>
      <c r="L102" s="146"/>
      <c r="M102" s="147"/>
      <c r="N102" s="146"/>
      <c r="O102" s="144"/>
      <c r="P102" s="144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</row>
    <row r="103" ht="13.5" customHeight="1">
      <c r="A103" s="142"/>
      <c r="B103" s="142"/>
      <c r="C103" s="142"/>
      <c r="D103" s="142"/>
      <c r="E103" s="142"/>
      <c r="F103" s="142"/>
      <c r="G103" s="143"/>
      <c r="H103" s="143"/>
      <c r="I103" s="144"/>
      <c r="J103" s="144"/>
      <c r="K103" s="145"/>
      <c r="L103" s="146"/>
      <c r="M103" s="147"/>
      <c r="N103" s="146"/>
      <c r="O103" s="144"/>
      <c r="P103" s="144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</row>
    <row r="104" ht="13.5" customHeight="1">
      <c r="A104" s="142"/>
      <c r="B104" s="142"/>
      <c r="C104" s="142"/>
      <c r="D104" s="142"/>
      <c r="E104" s="142"/>
      <c r="F104" s="142"/>
      <c r="G104" s="143"/>
      <c r="H104" s="143"/>
      <c r="I104" s="144"/>
      <c r="J104" s="144"/>
      <c r="K104" s="145"/>
      <c r="L104" s="146"/>
      <c r="M104" s="147"/>
      <c r="N104" s="146"/>
      <c r="O104" s="144"/>
      <c r="P104" s="144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</row>
    <row r="105" ht="13.5" customHeight="1">
      <c r="A105" s="142"/>
      <c r="B105" s="142"/>
      <c r="C105" s="142"/>
      <c r="D105" s="142"/>
      <c r="E105" s="142"/>
      <c r="F105" s="142"/>
      <c r="G105" s="143"/>
      <c r="H105" s="143"/>
      <c r="I105" s="144"/>
      <c r="J105" s="144"/>
      <c r="K105" s="145"/>
      <c r="L105" s="146"/>
      <c r="M105" s="147"/>
      <c r="N105" s="146"/>
      <c r="O105" s="144"/>
      <c r="P105" s="144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</row>
    <row r="106" ht="13.5" customHeight="1">
      <c r="A106" s="142"/>
      <c r="B106" s="142"/>
      <c r="C106" s="142"/>
      <c r="D106" s="142"/>
      <c r="E106" s="142"/>
      <c r="F106" s="142"/>
      <c r="G106" s="143"/>
      <c r="H106" s="143"/>
      <c r="I106" s="144"/>
      <c r="J106" s="144"/>
      <c r="K106" s="145"/>
      <c r="L106" s="146"/>
      <c r="M106" s="147"/>
      <c r="N106" s="146"/>
      <c r="O106" s="144"/>
      <c r="P106" s="144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</row>
    <row r="107" ht="13.5" customHeight="1">
      <c r="A107" s="142"/>
      <c r="B107" s="142"/>
      <c r="C107" s="142"/>
      <c r="D107" s="142"/>
      <c r="E107" s="142"/>
      <c r="F107" s="142"/>
      <c r="G107" s="143"/>
      <c r="H107" s="143"/>
      <c r="I107" s="144"/>
      <c r="J107" s="144"/>
      <c r="K107" s="145"/>
      <c r="L107" s="146"/>
      <c r="M107" s="147"/>
      <c r="N107" s="146"/>
      <c r="O107" s="144"/>
      <c r="P107" s="144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</row>
    <row r="108" ht="13.5" customHeight="1">
      <c r="A108" s="142"/>
      <c r="B108" s="142"/>
      <c r="C108" s="142"/>
      <c r="D108" s="142"/>
      <c r="E108" s="142"/>
      <c r="F108" s="142"/>
      <c r="G108" s="143"/>
      <c r="H108" s="143"/>
      <c r="I108" s="144"/>
      <c r="J108" s="144"/>
      <c r="K108" s="145"/>
      <c r="L108" s="146"/>
      <c r="M108" s="147"/>
      <c r="N108" s="146"/>
      <c r="O108" s="144"/>
      <c r="P108" s="144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</row>
    <row r="109" ht="13.5" customHeight="1">
      <c r="A109" s="142"/>
      <c r="B109" s="142"/>
      <c r="C109" s="142"/>
      <c r="D109" s="142"/>
      <c r="E109" s="142"/>
      <c r="F109" s="142"/>
      <c r="G109" s="143"/>
      <c r="H109" s="143"/>
      <c r="I109" s="144"/>
      <c r="J109" s="144"/>
      <c r="K109" s="145"/>
      <c r="L109" s="146"/>
      <c r="M109" s="147"/>
      <c r="N109" s="146"/>
      <c r="O109" s="144"/>
      <c r="P109" s="144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</row>
    <row r="110" ht="13.5" customHeight="1">
      <c r="A110" s="142"/>
      <c r="B110" s="142"/>
      <c r="C110" s="142"/>
      <c r="D110" s="142"/>
      <c r="E110" s="142"/>
      <c r="F110" s="142"/>
      <c r="G110" s="143"/>
      <c r="H110" s="143"/>
      <c r="I110" s="144"/>
      <c r="J110" s="144"/>
      <c r="K110" s="145"/>
      <c r="L110" s="146"/>
      <c r="M110" s="147"/>
      <c r="N110" s="146"/>
      <c r="O110" s="144"/>
      <c r="P110" s="144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</row>
    <row r="111" ht="13.5" customHeight="1">
      <c r="A111" s="142"/>
      <c r="B111" s="142"/>
      <c r="C111" s="142"/>
      <c r="D111" s="142"/>
      <c r="E111" s="142"/>
      <c r="F111" s="142"/>
      <c r="G111" s="143"/>
      <c r="H111" s="143"/>
      <c r="I111" s="144"/>
      <c r="J111" s="144"/>
      <c r="K111" s="145"/>
      <c r="L111" s="146"/>
      <c r="M111" s="147"/>
      <c r="N111" s="146"/>
      <c r="O111" s="144"/>
      <c r="P111" s="144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</row>
    <row r="112" ht="13.5" customHeight="1">
      <c r="A112" s="142"/>
      <c r="B112" s="142"/>
      <c r="C112" s="142"/>
      <c r="D112" s="142"/>
      <c r="E112" s="142"/>
      <c r="F112" s="142"/>
      <c r="G112" s="143"/>
      <c r="H112" s="143"/>
      <c r="I112" s="144"/>
      <c r="J112" s="144"/>
      <c r="K112" s="145"/>
      <c r="L112" s="146"/>
      <c r="M112" s="147"/>
      <c r="N112" s="146"/>
      <c r="O112" s="144"/>
      <c r="P112" s="144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</row>
    <row r="113" ht="13.5" customHeight="1">
      <c r="A113" s="142"/>
      <c r="B113" s="142"/>
      <c r="C113" s="142"/>
      <c r="D113" s="142"/>
      <c r="E113" s="142"/>
      <c r="F113" s="142"/>
      <c r="G113" s="143"/>
      <c r="H113" s="143"/>
      <c r="I113" s="144"/>
      <c r="J113" s="144"/>
      <c r="K113" s="145"/>
      <c r="L113" s="146"/>
      <c r="M113" s="147"/>
      <c r="N113" s="146"/>
      <c r="O113" s="144"/>
      <c r="P113" s="144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</row>
    <row r="114" ht="13.5" customHeight="1">
      <c r="A114" s="142"/>
      <c r="B114" s="142"/>
      <c r="C114" s="142"/>
      <c r="D114" s="142"/>
      <c r="E114" s="142"/>
      <c r="F114" s="142"/>
      <c r="G114" s="143"/>
      <c r="H114" s="143"/>
      <c r="I114" s="144"/>
      <c r="J114" s="144"/>
      <c r="K114" s="145"/>
      <c r="L114" s="146"/>
      <c r="M114" s="147"/>
      <c r="N114" s="146"/>
      <c r="O114" s="144"/>
      <c r="P114" s="144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ht="13.5" customHeight="1">
      <c r="A115" s="142"/>
      <c r="B115" s="142"/>
      <c r="C115" s="142"/>
      <c r="D115" s="142"/>
      <c r="E115" s="142"/>
      <c r="F115" s="142"/>
      <c r="G115" s="143"/>
      <c r="H115" s="143"/>
      <c r="I115" s="144"/>
      <c r="J115" s="144"/>
      <c r="K115" s="145"/>
      <c r="L115" s="146"/>
      <c r="M115" s="147"/>
      <c r="N115" s="146"/>
      <c r="O115" s="144"/>
      <c r="P115" s="144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</row>
    <row r="116" ht="13.5" customHeight="1">
      <c r="A116" s="142"/>
      <c r="B116" s="142"/>
      <c r="C116" s="142"/>
      <c r="D116" s="142"/>
      <c r="E116" s="142"/>
      <c r="F116" s="142"/>
      <c r="G116" s="143"/>
      <c r="H116" s="143"/>
      <c r="I116" s="144"/>
      <c r="J116" s="144"/>
      <c r="K116" s="145"/>
      <c r="L116" s="146"/>
      <c r="M116" s="147"/>
      <c r="N116" s="146"/>
      <c r="O116" s="144"/>
      <c r="P116" s="144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</row>
    <row r="117" ht="13.5" customHeight="1">
      <c r="A117" s="142"/>
      <c r="B117" s="142"/>
      <c r="C117" s="142"/>
      <c r="D117" s="142"/>
      <c r="E117" s="142"/>
      <c r="F117" s="142"/>
      <c r="G117" s="143"/>
      <c r="H117" s="143"/>
      <c r="I117" s="144"/>
      <c r="J117" s="144"/>
      <c r="K117" s="145"/>
      <c r="L117" s="146"/>
      <c r="M117" s="147"/>
      <c r="N117" s="146"/>
      <c r="O117" s="144"/>
      <c r="P117" s="144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</row>
    <row r="118" ht="13.5" customHeight="1">
      <c r="A118" s="142"/>
      <c r="B118" s="142"/>
      <c r="C118" s="142"/>
      <c r="D118" s="142"/>
      <c r="E118" s="142"/>
      <c r="F118" s="142"/>
      <c r="G118" s="143"/>
      <c r="H118" s="143"/>
      <c r="I118" s="144"/>
      <c r="J118" s="144"/>
      <c r="K118" s="145"/>
      <c r="L118" s="146"/>
      <c r="M118" s="147"/>
      <c r="N118" s="146"/>
      <c r="O118" s="144"/>
      <c r="P118" s="144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</row>
    <row r="119" ht="13.5" customHeight="1">
      <c r="A119" s="142"/>
      <c r="B119" s="142"/>
      <c r="C119" s="142"/>
      <c r="D119" s="142"/>
      <c r="E119" s="142"/>
      <c r="F119" s="142"/>
      <c r="G119" s="143"/>
      <c r="H119" s="143"/>
      <c r="I119" s="144"/>
      <c r="J119" s="144"/>
      <c r="K119" s="145"/>
      <c r="L119" s="146"/>
      <c r="M119" s="147"/>
      <c r="N119" s="146"/>
      <c r="O119" s="144"/>
      <c r="P119" s="144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</row>
    <row r="120" ht="13.5" customHeight="1">
      <c r="A120" s="142"/>
      <c r="B120" s="142"/>
      <c r="C120" s="142"/>
      <c r="D120" s="142"/>
      <c r="E120" s="142"/>
      <c r="F120" s="142"/>
      <c r="G120" s="143"/>
      <c r="H120" s="143"/>
      <c r="I120" s="144"/>
      <c r="J120" s="144"/>
      <c r="K120" s="145"/>
      <c r="L120" s="146"/>
      <c r="M120" s="147"/>
      <c r="N120" s="146"/>
      <c r="O120" s="144"/>
      <c r="P120" s="144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</row>
    <row r="121" ht="13.5" customHeight="1">
      <c r="A121" s="142"/>
      <c r="B121" s="142"/>
      <c r="C121" s="142"/>
      <c r="D121" s="142"/>
      <c r="E121" s="142"/>
      <c r="F121" s="142"/>
      <c r="G121" s="143"/>
      <c r="H121" s="143"/>
      <c r="I121" s="144"/>
      <c r="J121" s="144"/>
      <c r="K121" s="145"/>
      <c r="L121" s="146"/>
      <c r="M121" s="147"/>
      <c r="N121" s="146"/>
      <c r="O121" s="144"/>
      <c r="P121" s="144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</row>
    <row r="122" ht="13.5" customHeight="1">
      <c r="A122" s="142"/>
      <c r="B122" s="142"/>
      <c r="C122" s="142"/>
      <c r="D122" s="142"/>
      <c r="E122" s="142"/>
      <c r="F122" s="142"/>
      <c r="G122" s="143"/>
      <c r="H122" s="143"/>
      <c r="I122" s="144"/>
      <c r="J122" s="144"/>
      <c r="K122" s="145"/>
      <c r="L122" s="146"/>
      <c r="M122" s="147"/>
      <c r="N122" s="146"/>
      <c r="O122" s="144"/>
      <c r="P122" s="144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</row>
    <row r="123" ht="13.5" customHeight="1">
      <c r="A123" s="142"/>
      <c r="B123" s="142"/>
      <c r="C123" s="142"/>
      <c r="D123" s="142"/>
      <c r="E123" s="142"/>
      <c r="F123" s="142"/>
      <c r="G123" s="143"/>
      <c r="H123" s="143"/>
      <c r="I123" s="144"/>
      <c r="J123" s="144"/>
      <c r="K123" s="145"/>
      <c r="L123" s="146"/>
      <c r="M123" s="147"/>
      <c r="N123" s="146"/>
      <c r="O123" s="144"/>
      <c r="P123" s="144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</row>
    <row r="124" ht="13.5" customHeight="1">
      <c r="A124" s="142"/>
      <c r="B124" s="142"/>
      <c r="C124" s="142"/>
      <c r="D124" s="142"/>
      <c r="E124" s="142"/>
      <c r="F124" s="142"/>
      <c r="G124" s="143"/>
      <c r="H124" s="143"/>
      <c r="I124" s="144"/>
      <c r="J124" s="144"/>
      <c r="K124" s="145"/>
      <c r="L124" s="146"/>
      <c r="M124" s="147"/>
      <c r="N124" s="146"/>
      <c r="O124" s="144"/>
      <c r="P124" s="144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</row>
    <row r="125" ht="13.5" customHeight="1">
      <c r="A125" s="142"/>
      <c r="B125" s="142"/>
      <c r="C125" s="142"/>
      <c r="D125" s="142"/>
      <c r="E125" s="142"/>
      <c r="F125" s="142"/>
      <c r="G125" s="143"/>
      <c r="H125" s="143"/>
      <c r="I125" s="144"/>
      <c r="J125" s="144"/>
      <c r="K125" s="145"/>
      <c r="L125" s="146"/>
      <c r="M125" s="147"/>
      <c r="N125" s="146"/>
      <c r="O125" s="144"/>
      <c r="P125" s="144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</row>
    <row r="126" ht="13.5" customHeight="1">
      <c r="A126" s="142"/>
      <c r="B126" s="142"/>
      <c r="C126" s="142"/>
      <c r="D126" s="142"/>
      <c r="E126" s="142"/>
      <c r="F126" s="142"/>
      <c r="G126" s="143"/>
      <c r="H126" s="143"/>
      <c r="I126" s="144"/>
      <c r="J126" s="144"/>
      <c r="K126" s="145"/>
      <c r="L126" s="146"/>
      <c r="M126" s="147"/>
      <c r="N126" s="146"/>
      <c r="O126" s="144"/>
      <c r="P126" s="144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</row>
    <row r="127" ht="13.5" customHeight="1">
      <c r="A127" s="142"/>
      <c r="B127" s="142"/>
      <c r="C127" s="142"/>
      <c r="D127" s="142"/>
      <c r="E127" s="142"/>
      <c r="F127" s="142"/>
      <c r="G127" s="143"/>
      <c r="H127" s="143"/>
      <c r="I127" s="144"/>
      <c r="J127" s="144"/>
      <c r="K127" s="145"/>
      <c r="L127" s="146"/>
      <c r="M127" s="147"/>
      <c r="N127" s="146"/>
      <c r="O127" s="144"/>
      <c r="P127" s="144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</row>
    <row r="128" ht="13.5" customHeight="1">
      <c r="A128" s="142"/>
      <c r="B128" s="142"/>
      <c r="C128" s="142"/>
      <c r="D128" s="142"/>
      <c r="E128" s="142"/>
      <c r="F128" s="142"/>
      <c r="G128" s="143"/>
      <c r="H128" s="143"/>
      <c r="I128" s="144"/>
      <c r="J128" s="144"/>
      <c r="K128" s="145"/>
      <c r="L128" s="146"/>
      <c r="M128" s="147"/>
      <c r="N128" s="146"/>
      <c r="O128" s="144"/>
      <c r="P128" s="144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</row>
    <row r="129" ht="13.5" customHeight="1">
      <c r="A129" s="142"/>
      <c r="B129" s="142"/>
      <c r="C129" s="142"/>
      <c r="D129" s="142"/>
      <c r="E129" s="142"/>
      <c r="F129" s="142"/>
      <c r="G129" s="143"/>
      <c r="H129" s="143"/>
      <c r="I129" s="144"/>
      <c r="J129" s="144"/>
      <c r="K129" s="145"/>
      <c r="L129" s="146"/>
      <c r="M129" s="147"/>
      <c r="N129" s="146"/>
      <c r="O129" s="144"/>
      <c r="P129" s="144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</row>
    <row r="130" ht="13.5" customHeight="1">
      <c r="A130" s="142"/>
      <c r="B130" s="142"/>
      <c r="C130" s="142"/>
      <c r="D130" s="142"/>
      <c r="E130" s="142"/>
      <c r="F130" s="142"/>
      <c r="G130" s="143"/>
      <c r="H130" s="143"/>
      <c r="I130" s="144"/>
      <c r="J130" s="144"/>
      <c r="K130" s="145"/>
      <c r="L130" s="146"/>
      <c r="M130" s="147"/>
      <c r="N130" s="146"/>
      <c r="O130" s="144"/>
      <c r="P130" s="144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</row>
    <row r="131" ht="13.5" customHeight="1">
      <c r="A131" s="142"/>
      <c r="B131" s="142"/>
      <c r="C131" s="142"/>
      <c r="D131" s="142"/>
      <c r="E131" s="142"/>
      <c r="F131" s="142"/>
      <c r="G131" s="143"/>
      <c r="H131" s="143"/>
      <c r="I131" s="144"/>
      <c r="J131" s="144"/>
      <c r="K131" s="145"/>
      <c r="L131" s="146"/>
      <c r="M131" s="147"/>
      <c r="N131" s="146"/>
      <c r="O131" s="144"/>
      <c r="P131" s="144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</row>
    <row r="132" ht="13.5" customHeight="1">
      <c r="A132" s="142"/>
      <c r="B132" s="142"/>
      <c r="C132" s="142"/>
      <c r="D132" s="142"/>
      <c r="E132" s="142"/>
      <c r="F132" s="142"/>
      <c r="G132" s="143"/>
      <c r="H132" s="143"/>
      <c r="I132" s="144"/>
      <c r="J132" s="144"/>
      <c r="K132" s="145"/>
      <c r="L132" s="146"/>
      <c r="M132" s="147"/>
      <c r="N132" s="146"/>
      <c r="O132" s="144"/>
      <c r="P132" s="144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</row>
    <row r="133" ht="13.5" customHeight="1">
      <c r="A133" s="142"/>
      <c r="B133" s="142"/>
      <c r="C133" s="142"/>
      <c r="D133" s="142"/>
      <c r="E133" s="142"/>
      <c r="F133" s="142"/>
      <c r="G133" s="143"/>
      <c r="H133" s="143"/>
      <c r="I133" s="144"/>
      <c r="J133" s="144"/>
      <c r="K133" s="145"/>
      <c r="L133" s="146"/>
      <c r="M133" s="147"/>
      <c r="N133" s="146"/>
      <c r="O133" s="144"/>
      <c r="P133" s="144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</row>
    <row r="134" ht="13.5" customHeight="1">
      <c r="A134" s="142"/>
      <c r="B134" s="142"/>
      <c r="C134" s="142"/>
      <c r="D134" s="142"/>
      <c r="E134" s="142"/>
      <c r="F134" s="142"/>
      <c r="G134" s="143"/>
      <c r="H134" s="143"/>
      <c r="I134" s="144"/>
      <c r="J134" s="144"/>
      <c r="K134" s="145"/>
      <c r="L134" s="146"/>
      <c r="M134" s="147"/>
      <c r="N134" s="146"/>
      <c r="O134" s="144"/>
      <c r="P134" s="144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</row>
    <row r="135" ht="13.5" customHeight="1">
      <c r="A135" s="142"/>
      <c r="B135" s="142"/>
      <c r="C135" s="142"/>
      <c r="D135" s="142"/>
      <c r="E135" s="142"/>
      <c r="F135" s="142"/>
      <c r="G135" s="143"/>
      <c r="H135" s="143"/>
      <c r="I135" s="144"/>
      <c r="J135" s="144"/>
      <c r="K135" s="145"/>
      <c r="L135" s="146"/>
      <c r="M135" s="147"/>
      <c r="N135" s="146"/>
      <c r="O135" s="144"/>
      <c r="P135" s="144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</row>
    <row r="136" ht="13.5" customHeight="1">
      <c r="A136" s="142"/>
      <c r="B136" s="142"/>
      <c r="C136" s="142"/>
      <c r="D136" s="142"/>
      <c r="E136" s="142"/>
      <c r="F136" s="142"/>
      <c r="G136" s="143"/>
      <c r="H136" s="143"/>
      <c r="I136" s="144"/>
      <c r="J136" s="144"/>
      <c r="K136" s="145"/>
      <c r="L136" s="146"/>
      <c r="M136" s="147"/>
      <c r="N136" s="146"/>
      <c r="O136" s="144"/>
      <c r="P136" s="144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</row>
    <row r="137" ht="13.5" customHeight="1">
      <c r="A137" s="142"/>
      <c r="B137" s="142"/>
      <c r="C137" s="142"/>
      <c r="D137" s="142"/>
      <c r="E137" s="142"/>
      <c r="F137" s="142"/>
      <c r="G137" s="143"/>
      <c r="H137" s="143"/>
      <c r="I137" s="144"/>
      <c r="J137" s="144"/>
      <c r="K137" s="145"/>
      <c r="L137" s="146"/>
      <c r="M137" s="147"/>
      <c r="N137" s="146"/>
      <c r="O137" s="144"/>
      <c r="P137" s="144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</row>
    <row r="138" ht="13.5" customHeight="1">
      <c r="A138" s="142"/>
      <c r="B138" s="142"/>
      <c r="C138" s="142"/>
      <c r="D138" s="142"/>
      <c r="E138" s="142"/>
      <c r="F138" s="142"/>
      <c r="G138" s="143"/>
      <c r="H138" s="143"/>
      <c r="I138" s="144"/>
      <c r="J138" s="144"/>
      <c r="K138" s="145"/>
      <c r="L138" s="146"/>
      <c r="M138" s="147"/>
      <c r="N138" s="146"/>
      <c r="O138" s="144"/>
      <c r="P138" s="144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</row>
    <row r="139" ht="13.5" customHeight="1">
      <c r="A139" s="142"/>
      <c r="B139" s="142"/>
      <c r="C139" s="142"/>
      <c r="D139" s="142"/>
      <c r="E139" s="142"/>
      <c r="F139" s="142"/>
      <c r="G139" s="143"/>
      <c r="H139" s="143"/>
      <c r="I139" s="144"/>
      <c r="J139" s="144"/>
      <c r="K139" s="145"/>
      <c r="L139" s="146"/>
      <c r="M139" s="147"/>
      <c r="N139" s="146"/>
      <c r="O139" s="144"/>
      <c r="P139" s="144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</row>
    <row r="140" ht="13.5" customHeight="1">
      <c r="A140" s="142"/>
      <c r="B140" s="142"/>
      <c r="C140" s="142"/>
      <c r="D140" s="142"/>
      <c r="E140" s="142"/>
      <c r="F140" s="142"/>
      <c r="G140" s="143"/>
      <c r="H140" s="143"/>
      <c r="I140" s="144"/>
      <c r="J140" s="144"/>
      <c r="K140" s="145"/>
      <c r="L140" s="146"/>
      <c r="M140" s="147"/>
      <c r="N140" s="146"/>
      <c r="O140" s="144"/>
      <c r="P140" s="144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</row>
    <row r="141" ht="13.5" customHeight="1">
      <c r="A141" s="142"/>
      <c r="B141" s="142"/>
      <c r="C141" s="142"/>
      <c r="D141" s="142"/>
      <c r="E141" s="142"/>
      <c r="F141" s="142"/>
      <c r="G141" s="143"/>
      <c r="H141" s="143"/>
      <c r="I141" s="144"/>
      <c r="J141" s="144"/>
      <c r="K141" s="145"/>
      <c r="L141" s="146"/>
      <c r="M141" s="147"/>
      <c r="N141" s="146"/>
      <c r="O141" s="144"/>
      <c r="P141" s="144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</row>
    <row r="142" ht="13.5" customHeight="1">
      <c r="A142" s="142"/>
      <c r="B142" s="142"/>
      <c r="C142" s="142"/>
      <c r="D142" s="142"/>
      <c r="E142" s="142"/>
      <c r="F142" s="142"/>
      <c r="G142" s="143"/>
      <c r="H142" s="143"/>
      <c r="I142" s="144"/>
      <c r="J142" s="144"/>
      <c r="K142" s="145"/>
      <c r="L142" s="146"/>
      <c r="M142" s="147"/>
      <c r="N142" s="146"/>
      <c r="O142" s="144"/>
      <c r="P142" s="144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</row>
    <row r="143" ht="13.5" customHeight="1">
      <c r="A143" s="142"/>
      <c r="B143" s="142"/>
      <c r="C143" s="142"/>
      <c r="D143" s="142"/>
      <c r="E143" s="142"/>
      <c r="F143" s="142"/>
      <c r="G143" s="143"/>
      <c r="H143" s="143"/>
      <c r="I143" s="144"/>
      <c r="J143" s="144"/>
      <c r="K143" s="145"/>
      <c r="L143" s="146"/>
      <c r="M143" s="147"/>
      <c r="N143" s="146"/>
      <c r="O143" s="144"/>
      <c r="P143" s="144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</row>
    <row r="144" ht="13.5" customHeight="1">
      <c r="A144" s="142"/>
      <c r="B144" s="142"/>
      <c r="C144" s="142"/>
      <c r="D144" s="142"/>
      <c r="E144" s="142"/>
      <c r="F144" s="142"/>
      <c r="G144" s="143"/>
      <c r="H144" s="143"/>
      <c r="I144" s="144"/>
      <c r="J144" s="144"/>
      <c r="K144" s="145"/>
      <c r="L144" s="146"/>
      <c r="M144" s="147"/>
      <c r="N144" s="146"/>
      <c r="O144" s="144"/>
      <c r="P144" s="144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</row>
    <row r="145" ht="13.5" customHeight="1">
      <c r="A145" s="142"/>
      <c r="B145" s="142"/>
      <c r="C145" s="142"/>
      <c r="D145" s="142"/>
      <c r="E145" s="142"/>
      <c r="F145" s="142"/>
      <c r="G145" s="143"/>
      <c r="H145" s="143"/>
      <c r="I145" s="144"/>
      <c r="J145" s="144"/>
      <c r="K145" s="145"/>
      <c r="L145" s="146"/>
      <c r="M145" s="147"/>
      <c r="N145" s="146"/>
      <c r="O145" s="144"/>
      <c r="P145" s="144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</row>
    <row r="146" ht="13.5" customHeight="1">
      <c r="A146" s="142"/>
      <c r="B146" s="142"/>
      <c r="C146" s="142"/>
      <c r="D146" s="142"/>
      <c r="E146" s="142"/>
      <c r="F146" s="142"/>
      <c r="G146" s="143"/>
      <c r="H146" s="143"/>
      <c r="I146" s="144"/>
      <c r="J146" s="144"/>
      <c r="K146" s="145"/>
      <c r="L146" s="146"/>
      <c r="M146" s="147"/>
      <c r="N146" s="146"/>
      <c r="O146" s="144"/>
      <c r="P146" s="144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</row>
    <row r="147" ht="13.5" customHeight="1">
      <c r="A147" s="142"/>
      <c r="B147" s="142"/>
      <c r="C147" s="142"/>
      <c r="D147" s="142"/>
      <c r="E147" s="142"/>
      <c r="F147" s="142"/>
      <c r="G147" s="143"/>
      <c r="H147" s="143"/>
      <c r="I147" s="144"/>
      <c r="J147" s="144"/>
      <c r="K147" s="145"/>
      <c r="L147" s="146"/>
      <c r="M147" s="147"/>
      <c r="N147" s="146"/>
      <c r="O147" s="144"/>
      <c r="P147" s="144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</row>
    <row r="148" ht="13.5" customHeight="1">
      <c r="A148" s="142"/>
      <c r="B148" s="142"/>
      <c r="C148" s="142"/>
      <c r="D148" s="142"/>
      <c r="E148" s="142"/>
      <c r="F148" s="142"/>
      <c r="G148" s="143"/>
      <c r="H148" s="143"/>
      <c r="I148" s="144"/>
      <c r="J148" s="144"/>
      <c r="K148" s="145"/>
      <c r="L148" s="146"/>
      <c r="M148" s="147"/>
      <c r="N148" s="146"/>
      <c r="O148" s="144"/>
      <c r="P148" s="144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</row>
    <row r="149" ht="13.5" customHeight="1">
      <c r="A149" s="142"/>
      <c r="B149" s="142"/>
      <c r="C149" s="142"/>
      <c r="D149" s="142"/>
      <c r="E149" s="142"/>
      <c r="F149" s="142"/>
      <c r="G149" s="143"/>
      <c r="H149" s="143"/>
      <c r="I149" s="144"/>
      <c r="J149" s="144"/>
      <c r="K149" s="145"/>
      <c r="L149" s="146"/>
      <c r="M149" s="147"/>
      <c r="N149" s="146"/>
      <c r="O149" s="144"/>
      <c r="P149" s="144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</row>
    <row r="150" ht="13.5" customHeight="1">
      <c r="A150" s="142"/>
      <c r="B150" s="142"/>
      <c r="C150" s="142"/>
      <c r="D150" s="142"/>
      <c r="E150" s="142"/>
      <c r="F150" s="142"/>
      <c r="G150" s="143"/>
      <c r="H150" s="143"/>
      <c r="I150" s="144"/>
      <c r="J150" s="144"/>
      <c r="K150" s="145"/>
      <c r="L150" s="146"/>
      <c r="M150" s="147"/>
      <c r="N150" s="146"/>
      <c r="O150" s="144"/>
      <c r="P150" s="144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</row>
    <row r="151" ht="13.5" customHeight="1">
      <c r="A151" s="142"/>
      <c r="B151" s="142"/>
      <c r="C151" s="142"/>
      <c r="D151" s="142"/>
      <c r="E151" s="142"/>
      <c r="F151" s="142"/>
      <c r="G151" s="143"/>
      <c r="H151" s="143"/>
      <c r="I151" s="144"/>
      <c r="J151" s="144"/>
      <c r="K151" s="145"/>
      <c r="L151" s="146"/>
      <c r="M151" s="147"/>
      <c r="N151" s="146"/>
      <c r="O151" s="144"/>
      <c r="P151" s="144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</row>
    <row r="152" ht="13.5" customHeight="1">
      <c r="A152" s="142"/>
      <c r="B152" s="142"/>
      <c r="C152" s="142"/>
      <c r="D152" s="142"/>
      <c r="E152" s="142"/>
      <c r="F152" s="142"/>
      <c r="G152" s="143"/>
      <c r="H152" s="143"/>
      <c r="I152" s="144"/>
      <c r="J152" s="144"/>
      <c r="K152" s="145"/>
      <c r="L152" s="146"/>
      <c r="M152" s="147"/>
      <c r="N152" s="146"/>
      <c r="O152" s="144"/>
      <c r="P152" s="144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</row>
    <row r="153" ht="13.5" customHeight="1">
      <c r="A153" s="142"/>
      <c r="B153" s="142"/>
      <c r="C153" s="142"/>
      <c r="D153" s="142"/>
      <c r="E153" s="142"/>
      <c r="F153" s="142"/>
      <c r="G153" s="143"/>
      <c r="H153" s="143"/>
      <c r="I153" s="144"/>
      <c r="J153" s="144"/>
      <c r="K153" s="145"/>
      <c r="L153" s="146"/>
      <c r="M153" s="147"/>
      <c r="N153" s="146"/>
      <c r="O153" s="144"/>
      <c r="P153" s="144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2"/>
    </row>
    <row r="154" ht="13.5" customHeight="1">
      <c r="A154" s="142"/>
      <c r="B154" s="142"/>
      <c r="C154" s="142"/>
      <c r="D154" s="142"/>
      <c r="E154" s="142"/>
      <c r="F154" s="142"/>
      <c r="G154" s="143"/>
      <c r="H154" s="143"/>
      <c r="I154" s="144"/>
      <c r="J154" s="144"/>
      <c r="K154" s="145"/>
      <c r="L154" s="146"/>
      <c r="M154" s="147"/>
      <c r="N154" s="146"/>
      <c r="O154" s="144"/>
      <c r="P154" s="144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2"/>
    </row>
    <row r="155" ht="13.5" customHeight="1">
      <c r="A155" s="142"/>
      <c r="B155" s="142"/>
      <c r="C155" s="142"/>
      <c r="D155" s="142"/>
      <c r="E155" s="142"/>
      <c r="F155" s="142"/>
      <c r="G155" s="143"/>
      <c r="H155" s="143"/>
      <c r="I155" s="144"/>
      <c r="J155" s="144"/>
      <c r="K155" s="145"/>
      <c r="L155" s="146"/>
      <c r="M155" s="147"/>
      <c r="N155" s="146"/>
      <c r="O155" s="144"/>
      <c r="P155" s="144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</row>
    <row r="156" ht="13.5" customHeight="1">
      <c r="A156" s="142"/>
      <c r="B156" s="142"/>
      <c r="C156" s="142"/>
      <c r="D156" s="142"/>
      <c r="E156" s="142"/>
      <c r="F156" s="142"/>
      <c r="G156" s="143"/>
      <c r="H156" s="143"/>
      <c r="I156" s="144"/>
      <c r="J156" s="144"/>
      <c r="K156" s="145"/>
      <c r="L156" s="146"/>
      <c r="M156" s="147"/>
      <c r="N156" s="146"/>
      <c r="O156" s="144"/>
      <c r="P156" s="144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</row>
    <row r="157" ht="13.5" customHeight="1">
      <c r="A157" s="142"/>
      <c r="B157" s="142"/>
      <c r="C157" s="142"/>
      <c r="D157" s="142"/>
      <c r="E157" s="142"/>
      <c r="F157" s="142"/>
      <c r="G157" s="143"/>
      <c r="H157" s="143"/>
      <c r="I157" s="144"/>
      <c r="J157" s="144"/>
      <c r="K157" s="145"/>
      <c r="L157" s="146"/>
      <c r="M157" s="147"/>
      <c r="N157" s="146"/>
      <c r="O157" s="144"/>
      <c r="P157" s="144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</row>
    <row r="158" ht="13.5" customHeight="1">
      <c r="A158" s="142"/>
      <c r="B158" s="142"/>
      <c r="C158" s="142"/>
      <c r="D158" s="142"/>
      <c r="E158" s="142"/>
      <c r="F158" s="142"/>
      <c r="G158" s="143"/>
      <c r="H158" s="143"/>
      <c r="I158" s="144"/>
      <c r="J158" s="144"/>
      <c r="K158" s="145"/>
      <c r="L158" s="146"/>
      <c r="M158" s="147"/>
      <c r="N158" s="146"/>
      <c r="O158" s="144"/>
      <c r="P158" s="144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</row>
    <row r="159" ht="13.5" customHeight="1">
      <c r="A159" s="142"/>
      <c r="B159" s="142"/>
      <c r="C159" s="142"/>
      <c r="D159" s="142"/>
      <c r="E159" s="142"/>
      <c r="F159" s="142"/>
      <c r="G159" s="143"/>
      <c r="H159" s="143"/>
      <c r="I159" s="144"/>
      <c r="J159" s="144"/>
      <c r="K159" s="145"/>
      <c r="L159" s="146"/>
      <c r="M159" s="147"/>
      <c r="N159" s="146"/>
      <c r="O159" s="144"/>
      <c r="P159" s="144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</row>
    <row r="160" ht="13.5" customHeight="1">
      <c r="A160" s="142"/>
      <c r="B160" s="142"/>
      <c r="C160" s="142"/>
      <c r="D160" s="142"/>
      <c r="E160" s="142"/>
      <c r="F160" s="142"/>
      <c r="G160" s="143"/>
      <c r="H160" s="143"/>
      <c r="I160" s="144"/>
      <c r="J160" s="144"/>
      <c r="K160" s="145"/>
      <c r="L160" s="146"/>
      <c r="M160" s="147"/>
      <c r="N160" s="146"/>
      <c r="O160" s="144"/>
      <c r="P160" s="144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</row>
    <row r="161" ht="13.5" customHeight="1">
      <c r="A161" s="142"/>
      <c r="B161" s="142"/>
      <c r="C161" s="142"/>
      <c r="D161" s="142"/>
      <c r="E161" s="142"/>
      <c r="F161" s="142"/>
      <c r="G161" s="143"/>
      <c r="H161" s="143"/>
      <c r="I161" s="144"/>
      <c r="J161" s="144"/>
      <c r="K161" s="145"/>
      <c r="L161" s="146"/>
      <c r="M161" s="147"/>
      <c r="N161" s="146"/>
      <c r="O161" s="144"/>
      <c r="P161" s="144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</row>
    <row r="162" ht="13.5" customHeight="1">
      <c r="A162" s="142"/>
      <c r="B162" s="142"/>
      <c r="C162" s="142"/>
      <c r="D162" s="142"/>
      <c r="E162" s="142"/>
      <c r="F162" s="142"/>
      <c r="G162" s="143"/>
      <c r="H162" s="143"/>
      <c r="I162" s="144"/>
      <c r="J162" s="144"/>
      <c r="K162" s="145"/>
      <c r="L162" s="146"/>
      <c r="M162" s="147"/>
      <c r="N162" s="146"/>
      <c r="O162" s="144"/>
      <c r="P162" s="144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</row>
    <row r="163" ht="13.5" customHeight="1">
      <c r="A163" s="142"/>
      <c r="B163" s="142"/>
      <c r="C163" s="142"/>
      <c r="D163" s="142"/>
      <c r="E163" s="142"/>
      <c r="F163" s="142"/>
      <c r="G163" s="143"/>
      <c r="H163" s="143"/>
      <c r="I163" s="144"/>
      <c r="J163" s="144"/>
      <c r="K163" s="145"/>
      <c r="L163" s="146"/>
      <c r="M163" s="147"/>
      <c r="N163" s="146"/>
      <c r="O163" s="144"/>
      <c r="P163" s="144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</row>
    <row r="164" ht="13.5" customHeight="1">
      <c r="A164" s="142"/>
      <c r="B164" s="142"/>
      <c r="C164" s="142"/>
      <c r="D164" s="142"/>
      <c r="E164" s="142"/>
      <c r="F164" s="142"/>
      <c r="G164" s="143"/>
      <c r="H164" s="143"/>
      <c r="I164" s="144"/>
      <c r="J164" s="144"/>
      <c r="K164" s="145"/>
      <c r="L164" s="146"/>
      <c r="M164" s="147"/>
      <c r="N164" s="146"/>
      <c r="O164" s="144"/>
      <c r="P164" s="144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</row>
    <row r="165" ht="13.5" customHeight="1">
      <c r="A165" s="142"/>
      <c r="B165" s="142"/>
      <c r="C165" s="142"/>
      <c r="D165" s="142"/>
      <c r="E165" s="142"/>
      <c r="F165" s="142"/>
      <c r="G165" s="143"/>
      <c r="H165" s="143"/>
      <c r="I165" s="144"/>
      <c r="J165" s="144"/>
      <c r="K165" s="145"/>
      <c r="L165" s="146"/>
      <c r="M165" s="147"/>
      <c r="N165" s="146"/>
      <c r="O165" s="144"/>
      <c r="P165" s="144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</row>
    <row r="166" ht="13.5" customHeight="1">
      <c r="A166" s="142"/>
      <c r="B166" s="142"/>
      <c r="C166" s="142"/>
      <c r="D166" s="142"/>
      <c r="E166" s="142"/>
      <c r="F166" s="142"/>
      <c r="G166" s="143"/>
      <c r="H166" s="143"/>
      <c r="I166" s="144"/>
      <c r="J166" s="144"/>
      <c r="K166" s="145"/>
      <c r="L166" s="146"/>
      <c r="M166" s="147"/>
      <c r="N166" s="146"/>
      <c r="O166" s="144"/>
      <c r="P166" s="144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</row>
    <row r="167" ht="13.5" customHeight="1">
      <c r="A167" s="142"/>
      <c r="B167" s="142"/>
      <c r="C167" s="142"/>
      <c r="D167" s="142"/>
      <c r="E167" s="142"/>
      <c r="F167" s="142"/>
      <c r="G167" s="143"/>
      <c r="H167" s="143"/>
      <c r="I167" s="144"/>
      <c r="J167" s="144"/>
      <c r="K167" s="145"/>
      <c r="L167" s="146"/>
      <c r="M167" s="147"/>
      <c r="N167" s="146"/>
      <c r="O167" s="144"/>
      <c r="P167" s="144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</row>
    <row r="168" ht="13.5" customHeight="1">
      <c r="A168" s="142"/>
      <c r="B168" s="142"/>
      <c r="C168" s="142"/>
      <c r="D168" s="142"/>
      <c r="E168" s="142"/>
      <c r="F168" s="142"/>
      <c r="G168" s="143"/>
      <c r="H168" s="143"/>
      <c r="I168" s="144"/>
      <c r="J168" s="144"/>
      <c r="K168" s="145"/>
      <c r="L168" s="146"/>
      <c r="M168" s="147"/>
      <c r="N168" s="146"/>
      <c r="O168" s="144"/>
      <c r="P168" s="144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</row>
    <row r="169" ht="13.5" customHeight="1">
      <c r="A169" s="142"/>
      <c r="B169" s="142"/>
      <c r="C169" s="142"/>
      <c r="D169" s="142"/>
      <c r="E169" s="142"/>
      <c r="F169" s="142"/>
      <c r="G169" s="143"/>
      <c r="H169" s="143"/>
      <c r="I169" s="144"/>
      <c r="J169" s="144"/>
      <c r="K169" s="145"/>
      <c r="L169" s="146"/>
      <c r="M169" s="147"/>
      <c r="N169" s="146"/>
      <c r="O169" s="144"/>
      <c r="P169" s="144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  <c r="AJ169" s="142"/>
    </row>
    <row r="170" ht="13.5" customHeight="1">
      <c r="A170" s="142"/>
      <c r="B170" s="142"/>
      <c r="C170" s="142"/>
      <c r="D170" s="142"/>
      <c r="E170" s="142"/>
      <c r="F170" s="142"/>
      <c r="G170" s="143"/>
      <c r="H170" s="143"/>
      <c r="I170" s="144"/>
      <c r="J170" s="144"/>
      <c r="K170" s="145"/>
      <c r="L170" s="146"/>
      <c r="M170" s="147"/>
      <c r="N170" s="146"/>
      <c r="O170" s="144"/>
      <c r="P170" s="144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  <c r="AJ170" s="142"/>
    </row>
    <row r="171" ht="13.5" customHeight="1">
      <c r="A171" s="142"/>
      <c r="B171" s="142"/>
      <c r="C171" s="142"/>
      <c r="D171" s="142"/>
      <c r="E171" s="142"/>
      <c r="F171" s="142"/>
      <c r="G171" s="143"/>
      <c r="H171" s="143"/>
      <c r="I171" s="144"/>
      <c r="J171" s="144"/>
      <c r="K171" s="145"/>
      <c r="L171" s="146"/>
      <c r="M171" s="147"/>
      <c r="N171" s="146"/>
      <c r="O171" s="144"/>
      <c r="P171" s="144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  <c r="AJ171" s="142"/>
    </row>
    <row r="172" ht="13.5" customHeight="1">
      <c r="A172" s="142"/>
      <c r="B172" s="142"/>
      <c r="C172" s="142"/>
      <c r="D172" s="142"/>
      <c r="E172" s="142"/>
      <c r="F172" s="142"/>
      <c r="G172" s="143"/>
      <c r="H172" s="143"/>
      <c r="I172" s="144"/>
      <c r="J172" s="144"/>
      <c r="K172" s="145"/>
      <c r="L172" s="146"/>
      <c r="M172" s="147"/>
      <c r="N172" s="146"/>
      <c r="O172" s="144"/>
      <c r="P172" s="144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2"/>
    </row>
    <row r="173" ht="13.5" customHeight="1">
      <c r="A173" s="142"/>
      <c r="B173" s="142"/>
      <c r="C173" s="142"/>
      <c r="D173" s="142"/>
      <c r="E173" s="142"/>
      <c r="F173" s="142"/>
      <c r="G173" s="143"/>
      <c r="H173" s="143"/>
      <c r="I173" s="144"/>
      <c r="J173" s="144"/>
      <c r="K173" s="145"/>
      <c r="L173" s="146"/>
      <c r="M173" s="147"/>
      <c r="N173" s="146"/>
      <c r="O173" s="144"/>
      <c r="P173" s="144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2"/>
    </row>
    <row r="174" ht="13.5" customHeight="1">
      <c r="A174" s="142"/>
      <c r="B174" s="142"/>
      <c r="C174" s="142"/>
      <c r="D174" s="142"/>
      <c r="E174" s="142"/>
      <c r="F174" s="142"/>
      <c r="G174" s="143"/>
      <c r="H174" s="143"/>
      <c r="I174" s="144"/>
      <c r="J174" s="144"/>
      <c r="K174" s="145"/>
      <c r="L174" s="146"/>
      <c r="M174" s="147"/>
      <c r="N174" s="146"/>
      <c r="O174" s="144"/>
      <c r="P174" s="144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2"/>
      <c r="AI174" s="142"/>
      <c r="AJ174" s="142"/>
    </row>
    <row r="175" ht="13.5" customHeight="1">
      <c r="A175" s="142"/>
      <c r="B175" s="142"/>
      <c r="C175" s="142"/>
      <c r="D175" s="142"/>
      <c r="E175" s="142"/>
      <c r="F175" s="142"/>
      <c r="G175" s="143"/>
      <c r="H175" s="143"/>
      <c r="I175" s="144"/>
      <c r="J175" s="144"/>
      <c r="K175" s="145"/>
      <c r="L175" s="146"/>
      <c r="M175" s="147"/>
      <c r="N175" s="146"/>
      <c r="O175" s="144"/>
      <c r="P175" s="144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  <c r="AJ175" s="142"/>
    </row>
    <row r="176" ht="13.5" customHeight="1">
      <c r="A176" s="142"/>
      <c r="B176" s="142"/>
      <c r="C176" s="142"/>
      <c r="D176" s="142"/>
      <c r="E176" s="142"/>
      <c r="F176" s="142"/>
      <c r="G176" s="143"/>
      <c r="H176" s="143"/>
      <c r="I176" s="144"/>
      <c r="J176" s="144"/>
      <c r="K176" s="145"/>
      <c r="L176" s="146"/>
      <c r="M176" s="147"/>
      <c r="N176" s="146"/>
      <c r="O176" s="144"/>
      <c r="P176" s="144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</row>
    <row r="177" ht="13.5" customHeight="1">
      <c r="A177" s="142"/>
      <c r="B177" s="142"/>
      <c r="C177" s="142"/>
      <c r="D177" s="142"/>
      <c r="E177" s="142"/>
      <c r="F177" s="142"/>
      <c r="G177" s="143"/>
      <c r="H177" s="143"/>
      <c r="I177" s="144"/>
      <c r="J177" s="144"/>
      <c r="K177" s="145"/>
      <c r="L177" s="146"/>
      <c r="M177" s="147"/>
      <c r="N177" s="146"/>
      <c r="O177" s="144"/>
      <c r="P177" s="144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</row>
    <row r="178" ht="13.5" customHeight="1">
      <c r="A178" s="142"/>
      <c r="B178" s="142"/>
      <c r="C178" s="142"/>
      <c r="D178" s="142"/>
      <c r="E178" s="142"/>
      <c r="F178" s="142"/>
      <c r="G178" s="143"/>
      <c r="H178" s="143"/>
      <c r="I178" s="144"/>
      <c r="J178" s="144"/>
      <c r="K178" s="145"/>
      <c r="L178" s="146"/>
      <c r="M178" s="147"/>
      <c r="N178" s="146"/>
      <c r="O178" s="144"/>
      <c r="P178" s="144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</row>
    <row r="179" ht="13.5" customHeight="1">
      <c r="A179" s="142"/>
      <c r="B179" s="142"/>
      <c r="C179" s="142"/>
      <c r="D179" s="142"/>
      <c r="E179" s="142"/>
      <c r="F179" s="142"/>
      <c r="G179" s="143"/>
      <c r="H179" s="143"/>
      <c r="I179" s="144"/>
      <c r="J179" s="144"/>
      <c r="K179" s="145"/>
      <c r="L179" s="146"/>
      <c r="M179" s="147"/>
      <c r="N179" s="146"/>
      <c r="O179" s="144"/>
      <c r="P179" s="144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</row>
    <row r="180" ht="13.5" customHeight="1">
      <c r="A180" s="142"/>
      <c r="B180" s="142"/>
      <c r="C180" s="142"/>
      <c r="D180" s="142"/>
      <c r="E180" s="142"/>
      <c r="F180" s="142"/>
      <c r="G180" s="143"/>
      <c r="H180" s="143"/>
      <c r="I180" s="144"/>
      <c r="J180" s="144"/>
      <c r="K180" s="145"/>
      <c r="L180" s="146"/>
      <c r="M180" s="147"/>
      <c r="N180" s="146"/>
      <c r="O180" s="144"/>
      <c r="P180" s="144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</row>
    <row r="181" ht="13.5" customHeight="1">
      <c r="A181" s="142"/>
      <c r="B181" s="142"/>
      <c r="C181" s="142"/>
      <c r="D181" s="142"/>
      <c r="E181" s="142"/>
      <c r="F181" s="142"/>
      <c r="G181" s="143"/>
      <c r="H181" s="143"/>
      <c r="I181" s="144"/>
      <c r="J181" s="144"/>
      <c r="K181" s="145"/>
      <c r="L181" s="146"/>
      <c r="M181" s="147"/>
      <c r="N181" s="146"/>
      <c r="O181" s="144"/>
      <c r="P181" s="144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</row>
    <row r="182" ht="13.5" customHeight="1">
      <c r="A182" s="142"/>
      <c r="B182" s="142"/>
      <c r="C182" s="142"/>
      <c r="D182" s="142"/>
      <c r="E182" s="142"/>
      <c r="F182" s="142"/>
      <c r="G182" s="143"/>
      <c r="H182" s="143"/>
      <c r="I182" s="144"/>
      <c r="J182" s="144"/>
      <c r="K182" s="145"/>
      <c r="L182" s="146"/>
      <c r="M182" s="147"/>
      <c r="N182" s="146"/>
      <c r="O182" s="144"/>
      <c r="P182" s="144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</row>
    <row r="183" ht="13.5" customHeight="1">
      <c r="A183" s="142"/>
      <c r="B183" s="142"/>
      <c r="C183" s="142"/>
      <c r="D183" s="142"/>
      <c r="E183" s="142"/>
      <c r="F183" s="142"/>
      <c r="G183" s="143"/>
      <c r="H183" s="143"/>
      <c r="I183" s="144"/>
      <c r="J183" s="144"/>
      <c r="K183" s="145"/>
      <c r="L183" s="146"/>
      <c r="M183" s="147"/>
      <c r="N183" s="146"/>
      <c r="O183" s="144"/>
      <c r="P183" s="144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</row>
    <row r="184" ht="13.5" customHeight="1">
      <c r="A184" s="142"/>
      <c r="B184" s="142"/>
      <c r="C184" s="142"/>
      <c r="D184" s="142"/>
      <c r="E184" s="142"/>
      <c r="F184" s="142"/>
      <c r="G184" s="143"/>
      <c r="H184" s="143"/>
      <c r="I184" s="144"/>
      <c r="J184" s="144"/>
      <c r="K184" s="145"/>
      <c r="L184" s="146"/>
      <c r="M184" s="147"/>
      <c r="N184" s="146"/>
      <c r="O184" s="144"/>
      <c r="P184" s="144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</row>
    <row r="185" ht="13.5" customHeight="1">
      <c r="A185" s="142"/>
      <c r="B185" s="142"/>
      <c r="C185" s="142"/>
      <c r="D185" s="142"/>
      <c r="E185" s="142"/>
      <c r="F185" s="142"/>
      <c r="G185" s="143"/>
      <c r="H185" s="143"/>
      <c r="I185" s="144"/>
      <c r="J185" s="144"/>
      <c r="K185" s="145"/>
      <c r="L185" s="146"/>
      <c r="M185" s="147"/>
      <c r="N185" s="146"/>
      <c r="O185" s="144"/>
      <c r="P185" s="144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</row>
    <row r="186" ht="13.5" customHeight="1">
      <c r="A186" s="142"/>
      <c r="B186" s="142"/>
      <c r="C186" s="142"/>
      <c r="D186" s="142"/>
      <c r="E186" s="142"/>
      <c r="F186" s="142"/>
      <c r="G186" s="143"/>
      <c r="H186" s="143"/>
      <c r="I186" s="144"/>
      <c r="J186" s="144"/>
      <c r="K186" s="145"/>
      <c r="L186" s="146"/>
      <c r="M186" s="147"/>
      <c r="N186" s="146"/>
      <c r="O186" s="144"/>
      <c r="P186" s="144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</row>
    <row r="187" ht="13.5" customHeight="1">
      <c r="A187" s="142"/>
      <c r="B187" s="142"/>
      <c r="C187" s="142"/>
      <c r="D187" s="142"/>
      <c r="E187" s="142"/>
      <c r="F187" s="142"/>
      <c r="G187" s="143"/>
      <c r="H187" s="143"/>
      <c r="I187" s="144"/>
      <c r="J187" s="144"/>
      <c r="K187" s="145"/>
      <c r="L187" s="146"/>
      <c r="M187" s="147"/>
      <c r="N187" s="146"/>
      <c r="O187" s="144"/>
      <c r="P187" s="144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</row>
    <row r="188" ht="13.5" customHeight="1">
      <c r="A188" s="142"/>
      <c r="B188" s="142"/>
      <c r="C188" s="142"/>
      <c r="D188" s="142"/>
      <c r="E188" s="142"/>
      <c r="F188" s="142"/>
      <c r="G188" s="143"/>
      <c r="H188" s="143"/>
      <c r="I188" s="144"/>
      <c r="J188" s="144"/>
      <c r="K188" s="145"/>
      <c r="L188" s="146"/>
      <c r="M188" s="147"/>
      <c r="N188" s="146"/>
      <c r="O188" s="144"/>
      <c r="P188" s="144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</row>
    <row r="189" ht="13.5" customHeight="1">
      <c r="A189" s="142"/>
      <c r="B189" s="142"/>
      <c r="C189" s="142"/>
      <c r="D189" s="142"/>
      <c r="E189" s="142"/>
      <c r="F189" s="142"/>
      <c r="G189" s="143"/>
      <c r="H189" s="143"/>
      <c r="I189" s="144"/>
      <c r="J189" s="144"/>
      <c r="K189" s="145"/>
      <c r="L189" s="146"/>
      <c r="M189" s="147"/>
      <c r="N189" s="146"/>
      <c r="O189" s="144"/>
      <c r="P189" s="144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</row>
    <row r="190" ht="13.5" customHeight="1">
      <c r="A190" s="142"/>
      <c r="B190" s="142"/>
      <c r="C190" s="142"/>
      <c r="D190" s="142"/>
      <c r="E190" s="142"/>
      <c r="F190" s="142"/>
      <c r="G190" s="143"/>
      <c r="H190" s="143"/>
      <c r="I190" s="144"/>
      <c r="J190" s="144"/>
      <c r="K190" s="145"/>
      <c r="L190" s="146"/>
      <c r="M190" s="147"/>
      <c r="N190" s="146"/>
      <c r="O190" s="144"/>
      <c r="P190" s="144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  <c r="AJ190" s="142"/>
    </row>
    <row r="191" ht="13.5" customHeight="1">
      <c r="A191" s="142"/>
      <c r="B191" s="142"/>
      <c r="C191" s="142"/>
      <c r="D191" s="142"/>
      <c r="E191" s="142"/>
      <c r="F191" s="142"/>
      <c r="G191" s="143"/>
      <c r="H191" s="143"/>
      <c r="I191" s="144"/>
      <c r="J191" s="144"/>
      <c r="K191" s="145"/>
      <c r="L191" s="146"/>
      <c r="M191" s="147"/>
      <c r="N191" s="146"/>
      <c r="O191" s="144"/>
      <c r="P191" s="144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  <c r="AI191" s="142"/>
      <c r="AJ191" s="142"/>
    </row>
    <row r="192" ht="13.5" customHeight="1">
      <c r="A192" s="142"/>
      <c r="B192" s="142"/>
      <c r="C192" s="142"/>
      <c r="D192" s="142"/>
      <c r="E192" s="142"/>
      <c r="F192" s="142"/>
      <c r="G192" s="143"/>
      <c r="H192" s="143"/>
      <c r="I192" s="144"/>
      <c r="J192" s="144"/>
      <c r="K192" s="145"/>
      <c r="L192" s="146"/>
      <c r="M192" s="147"/>
      <c r="N192" s="146"/>
      <c r="O192" s="144"/>
      <c r="P192" s="144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2"/>
      <c r="AI192" s="142"/>
      <c r="AJ192" s="142"/>
    </row>
    <row r="193" ht="13.5" customHeight="1">
      <c r="A193" s="142"/>
      <c r="B193" s="142"/>
      <c r="C193" s="142"/>
      <c r="D193" s="142"/>
      <c r="E193" s="142"/>
      <c r="F193" s="142"/>
      <c r="G193" s="143"/>
      <c r="H193" s="143"/>
      <c r="I193" s="144"/>
      <c r="J193" s="144"/>
      <c r="K193" s="145"/>
      <c r="L193" s="146"/>
      <c r="M193" s="147"/>
      <c r="N193" s="146"/>
      <c r="O193" s="144"/>
      <c r="P193" s="144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2"/>
      <c r="AI193" s="142"/>
      <c r="AJ193" s="142"/>
    </row>
    <row r="194" ht="13.5" customHeight="1">
      <c r="A194" s="142"/>
      <c r="B194" s="142"/>
      <c r="C194" s="142"/>
      <c r="D194" s="142"/>
      <c r="E194" s="142"/>
      <c r="F194" s="142"/>
      <c r="G194" s="143"/>
      <c r="H194" s="143"/>
      <c r="I194" s="144"/>
      <c r="J194" s="144"/>
      <c r="K194" s="145"/>
      <c r="L194" s="146"/>
      <c r="M194" s="147"/>
      <c r="N194" s="146"/>
      <c r="O194" s="144"/>
      <c r="P194" s="144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2"/>
      <c r="AI194" s="142"/>
      <c r="AJ194" s="142"/>
    </row>
    <row r="195" ht="13.5" customHeight="1">
      <c r="A195" s="142"/>
      <c r="B195" s="142"/>
      <c r="C195" s="142"/>
      <c r="D195" s="142"/>
      <c r="E195" s="142"/>
      <c r="F195" s="142"/>
      <c r="G195" s="143"/>
      <c r="H195" s="143"/>
      <c r="I195" s="144"/>
      <c r="J195" s="144"/>
      <c r="K195" s="145"/>
      <c r="L195" s="146"/>
      <c r="M195" s="147"/>
      <c r="N195" s="146"/>
      <c r="O195" s="144"/>
      <c r="P195" s="144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2"/>
      <c r="AI195" s="142"/>
      <c r="AJ195" s="142"/>
    </row>
    <row r="196" ht="13.5" customHeight="1">
      <c r="A196" s="142"/>
      <c r="B196" s="142"/>
      <c r="C196" s="142"/>
      <c r="D196" s="142"/>
      <c r="E196" s="142"/>
      <c r="F196" s="142"/>
      <c r="G196" s="143"/>
      <c r="H196" s="143"/>
      <c r="I196" s="144"/>
      <c r="J196" s="144"/>
      <c r="K196" s="145"/>
      <c r="L196" s="146"/>
      <c r="M196" s="147"/>
      <c r="N196" s="146"/>
      <c r="O196" s="144"/>
      <c r="P196" s="144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  <c r="AJ196" s="142"/>
    </row>
    <row r="197" ht="13.5" customHeight="1">
      <c r="A197" s="142"/>
      <c r="B197" s="142"/>
      <c r="C197" s="142"/>
      <c r="D197" s="142"/>
      <c r="E197" s="142"/>
      <c r="F197" s="142"/>
      <c r="G197" s="143"/>
      <c r="H197" s="143"/>
      <c r="I197" s="144"/>
      <c r="J197" s="144"/>
      <c r="K197" s="145"/>
      <c r="L197" s="146"/>
      <c r="M197" s="147"/>
      <c r="N197" s="146"/>
      <c r="O197" s="144"/>
      <c r="P197" s="144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</row>
    <row r="198" ht="13.5" customHeight="1">
      <c r="A198" s="142"/>
      <c r="B198" s="142"/>
      <c r="C198" s="142"/>
      <c r="D198" s="142"/>
      <c r="E198" s="142"/>
      <c r="F198" s="142"/>
      <c r="G198" s="143"/>
      <c r="H198" s="143"/>
      <c r="I198" s="144"/>
      <c r="J198" s="144"/>
      <c r="K198" s="145"/>
      <c r="L198" s="146"/>
      <c r="M198" s="147"/>
      <c r="N198" s="146"/>
      <c r="O198" s="144"/>
      <c r="P198" s="144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</row>
    <row r="199" ht="13.5" customHeight="1">
      <c r="A199" s="142"/>
      <c r="B199" s="142"/>
      <c r="C199" s="142"/>
      <c r="D199" s="142"/>
      <c r="E199" s="142"/>
      <c r="F199" s="142"/>
      <c r="G199" s="143"/>
      <c r="H199" s="143"/>
      <c r="I199" s="144"/>
      <c r="J199" s="144"/>
      <c r="K199" s="145"/>
      <c r="L199" s="146"/>
      <c r="M199" s="147"/>
      <c r="N199" s="146"/>
      <c r="O199" s="144"/>
      <c r="P199" s="144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</row>
    <row r="200" ht="13.5" customHeight="1">
      <c r="A200" s="142"/>
      <c r="B200" s="142"/>
      <c r="C200" s="142"/>
      <c r="D200" s="142"/>
      <c r="E200" s="142"/>
      <c r="F200" s="142"/>
      <c r="G200" s="143"/>
      <c r="H200" s="143"/>
      <c r="I200" s="144"/>
      <c r="J200" s="144"/>
      <c r="K200" s="145"/>
      <c r="L200" s="146"/>
      <c r="M200" s="147"/>
      <c r="N200" s="146"/>
      <c r="O200" s="144"/>
      <c r="P200" s="144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</row>
    <row r="201" ht="13.5" customHeight="1">
      <c r="A201" s="142"/>
      <c r="B201" s="142"/>
      <c r="C201" s="142"/>
      <c r="D201" s="142"/>
      <c r="E201" s="142"/>
      <c r="F201" s="142"/>
      <c r="G201" s="143"/>
      <c r="H201" s="143"/>
      <c r="I201" s="144"/>
      <c r="J201" s="144"/>
      <c r="K201" s="145"/>
      <c r="L201" s="146"/>
      <c r="M201" s="147"/>
      <c r="N201" s="146"/>
      <c r="O201" s="144"/>
      <c r="P201" s="144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  <c r="AJ201" s="142"/>
    </row>
    <row r="202" ht="13.5" customHeight="1">
      <c r="A202" s="142"/>
      <c r="B202" s="142"/>
      <c r="C202" s="142"/>
      <c r="D202" s="142"/>
      <c r="E202" s="142"/>
      <c r="F202" s="142"/>
      <c r="G202" s="143"/>
      <c r="H202" s="143"/>
      <c r="I202" s="144"/>
      <c r="J202" s="144"/>
      <c r="K202" s="145"/>
      <c r="L202" s="146"/>
      <c r="M202" s="147"/>
      <c r="N202" s="146"/>
      <c r="O202" s="144"/>
      <c r="P202" s="144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  <c r="AJ202" s="142"/>
    </row>
    <row r="203" ht="13.5" customHeight="1">
      <c r="A203" s="142"/>
      <c r="B203" s="142"/>
      <c r="C203" s="142"/>
      <c r="D203" s="142"/>
      <c r="E203" s="142"/>
      <c r="F203" s="142"/>
      <c r="G203" s="143"/>
      <c r="H203" s="143"/>
      <c r="I203" s="144"/>
      <c r="J203" s="144"/>
      <c r="K203" s="145"/>
      <c r="L203" s="146"/>
      <c r="M203" s="147"/>
      <c r="N203" s="146"/>
      <c r="O203" s="144"/>
      <c r="P203" s="144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142"/>
    </row>
    <row r="204" ht="13.5" customHeight="1">
      <c r="A204" s="142"/>
      <c r="B204" s="142"/>
      <c r="C204" s="142"/>
      <c r="D204" s="142"/>
      <c r="E204" s="142"/>
      <c r="F204" s="142"/>
      <c r="G204" s="143"/>
      <c r="H204" s="143"/>
      <c r="I204" s="144"/>
      <c r="J204" s="144"/>
      <c r="K204" s="145"/>
      <c r="L204" s="146"/>
      <c r="M204" s="147"/>
      <c r="N204" s="146"/>
      <c r="O204" s="144"/>
      <c r="P204" s="144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2"/>
      <c r="AI204" s="142"/>
      <c r="AJ204" s="142"/>
    </row>
    <row r="205" ht="13.5" customHeight="1">
      <c r="A205" s="142"/>
      <c r="B205" s="142"/>
      <c r="C205" s="142"/>
      <c r="D205" s="142"/>
      <c r="E205" s="142"/>
      <c r="F205" s="142"/>
      <c r="G205" s="143"/>
      <c r="H205" s="143"/>
      <c r="I205" s="144"/>
      <c r="J205" s="144"/>
      <c r="K205" s="145"/>
      <c r="L205" s="146"/>
      <c r="M205" s="147"/>
      <c r="N205" s="146"/>
      <c r="O205" s="144"/>
      <c r="P205" s="144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  <c r="AJ205" s="142"/>
    </row>
    <row r="206" ht="13.5" customHeight="1">
      <c r="A206" s="142"/>
      <c r="B206" s="142"/>
      <c r="C206" s="142"/>
      <c r="D206" s="142"/>
      <c r="E206" s="142"/>
      <c r="F206" s="142"/>
      <c r="G206" s="143"/>
      <c r="H206" s="143"/>
      <c r="I206" s="144"/>
      <c r="J206" s="144"/>
      <c r="K206" s="145"/>
      <c r="L206" s="146"/>
      <c r="M206" s="147"/>
      <c r="N206" s="146"/>
      <c r="O206" s="144"/>
      <c r="P206" s="144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2"/>
      <c r="AI206" s="142"/>
      <c r="AJ206" s="142"/>
    </row>
    <row r="207" ht="13.5" customHeight="1">
      <c r="A207" s="142"/>
      <c r="B207" s="142"/>
      <c r="C207" s="142"/>
      <c r="D207" s="142"/>
      <c r="E207" s="142"/>
      <c r="F207" s="142"/>
      <c r="G207" s="143"/>
      <c r="H207" s="143"/>
      <c r="I207" s="144"/>
      <c r="J207" s="144"/>
      <c r="K207" s="145"/>
      <c r="L207" s="146"/>
      <c r="M207" s="147"/>
      <c r="N207" s="146"/>
      <c r="O207" s="144"/>
      <c r="P207" s="144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2"/>
      <c r="AI207" s="142"/>
      <c r="AJ207" s="142"/>
    </row>
    <row r="208" ht="13.5" customHeight="1">
      <c r="A208" s="142"/>
      <c r="B208" s="142"/>
      <c r="C208" s="142"/>
      <c r="D208" s="142"/>
      <c r="E208" s="142"/>
      <c r="F208" s="142"/>
      <c r="G208" s="143"/>
      <c r="H208" s="143"/>
      <c r="I208" s="144"/>
      <c r="J208" s="144"/>
      <c r="K208" s="145"/>
      <c r="L208" s="146"/>
      <c r="M208" s="147"/>
      <c r="N208" s="146"/>
      <c r="O208" s="144"/>
      <c r="P208" s="144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  <c r="AJ208" s="142"/>
    </row>
    <row r="209" ht="13.5" customHeight="1">
      <c r="A209" s="142"/>
      <c r="B209" s="142"/>
      <c r="C209" s="142"/>
      <c r="D209" s="142"/>
      <c r="E209" s="142"/>
      <c r="F209" s="142"/>
      <c r="G209" s="143"/>
      <c r="H209" s="143"/>
      <c r="I209" s="144"/>
      <c r="J209" s="144"/>
      <c r="K209" s="145"/>
      <c r="L209" s="146"/>
      <c r="M209" s="147"/>
      <c r="N209" s="146"/>
      <c r="O209" s="144"/>
      <c r="P209" s="144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2"/>
      <c r="AI209" s="142"/>
      <c r="AJ209" s="142"/>
    </row>
    <row r="210" ht="13.5" customHeight="1">
      <c r="A210" s="142"/>
      <c r="B210" s="142"/>
      <c r="C210" s="142"/>
      <c r="D210" s="142"/>
      <c r="E210" s="142"/>
      <c r="F210" s="142"/>
      <c r="G210" s="143"/>
      <c r="H210" s="143"/>
      <c r="I210" s="144"/>
      <c r="J210" s="144"/>
      <c r="K210" s="145"/>
      <c r="L210" s="146"/>
      <c r="M210" s="147"/>
      <c r="N210" s="146"/>
      <c r="O210" s="144"/>
      <c r="P210" s="144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2"/>
      <c r="AI210" s="142"/>
      <c r="AJ210" s="142"/>
    </row>
    <row r="211" ht="13.5" customHeight="1">
      <c r="A211" s="142"/>
      <c r="B211" s="142"/>
      <c r="C211" s="142"/>
      <c r="D211" s="142"/>
      <c r="E211" s="142"/>
      <c r="F211" s="142"/>
      <c r="G211" s="143"/>
      <c r="H211" s="143"/>
      <c r="I211" s="144"/>
      <c r="J211" s="144"/>
      <c r="K211" s="145"/>
      <c r="L211" s="146"/>
      <c r="M211" s="147"/>
      <c r="N211" s="146"/>
      <c r="O211" s="144"/>
      <c r="P211" s="144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  <c r="AF211" s="142"/>
      <c r="AG211" s="142"/>
      <c r="AH211" s="142"/>
      <c r="AI211" s="142"/>
      <c r="AJ211" s="142"/>
    </row>
    <row r="212" ht="13.5" customHeight="1">
      <c r="A212" s="142"/>
      <c r="B212" s="142"/>
      <c r="C212" s="142"/>
      <c r="D212" s="142"/>
      <c r="E212" s="142"/>
      <c r="F212" s="142"/>
      <c r="G212" s="143"/>
      <c r="H212" s="143"/>
      <c r="I212" s="144"/>
      <c r="J212" s="144"/>
      <c r="K212" s="145"/>
      <c r="L212" s="146"/>
      <c r="M212" s="147"/>
      <c r="N212" s="146"/>
      <c r="O212" s="144"/>
      <c r="P212" s="144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  <c r="AF212" s="142"/>
      <c r="AG212" s="142"/>
      <c r="AH212" s="142"/>
      <c r="AI212" s="142"/>
      <c r="AJ212" s="142"/>
    </row>
    <row r="213" ht="13.5" customHeight="1">
      <c r="A213" s="142"/>
      <c r="B213" s="142"/>
      <c r="C213" s="142"/>
      <c r="D213" s="142"/>
      <c r="E213" s="142"/>
      <c r="F213" s="142"/>
      <c r="G213" s="143"/>
      <c r="H213" s="143"/>
      <c r="I213" s="144"/>
      <c r="J213" s="144"/>
      <c r="K213" s="145"/>
      <c r="L213" s="146"/>
      <c r="M213" s="147"/>
      <c r="N213" s="146"/>
      <c r="O213" s="144"/>
      <c r="P213" s="144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  <c r="AF213" s="142"/>
      <c r="AG213" s="142"/>
      <c r="AH213" s="142"/>
      <c r="AI213" s="142"/>
      <c r="AJ213" s="142"/>
    </row>
    <row r="214" ht="13.5" customHeight="1">
      <c r="A214" s="142"/>
      <c r="B214" s="142"/>
      <c r="C214" s="142"/>
      <c r="D214" s="142"/>
      <c r="E214" s="142"/>
      <c r="F214" s="142"/>
      <c r="G214" s="143"/>
      <c r="H214" s="143"/>
      <c r="I214" s="144"/>
      <c r="J214" s="144"/>
      <c r="K214" s="145"/>
      <c r="L214" s="146"/>
      <c r="M214" s="147"/>
      <c r="N214" s="146"/>
      <c r="O214" s="144"/>
      <c r="P214" s="144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42"/>
      <c r="AG214" s="142"/>
      <c r="AH214" s="142"/>
      <c r="AI214" s="142"/>
      <c r="AJ214" s="142"/>
    </row>
    <row r="215" ht="13.5" customHeight="1">
      <c r="A215" s="142"/>
      <c r="B215" s="142"/>
      <c r="C215" s="142"/>
      <c r="D215" s="142"/>
      <c r="E215" s="142"/>
      <c r="F215" s="142"/>
      <c r="G215" s="143"/>
      <c r="H215" s="143"/>
      <c r="I215" s="144"/>
      <c r="J215" s="144"/>
      <c r="K215" s="145"/>
      <c r="L215" s="146"/>
      <c r="M215" s="147"/>
      <c r="N215" s="146"/>
      <c r="O215" s="144"/>
      <c r="P215" s="144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  <c r="AF215" s="142"/>
      <c r="AG215" s="142"/>
      <c r="AH215" s="142"/>
      <c r="AI215" s="142"/>
      <c r="AJ215" s="142"/>
    </row>
    <row r="216" ht="13.5" customHeight="1">
      <c r="A216" s="142"/>
      <c r="B216" s="142"/>
      <c r="C216" s="142"/>
      <c r="D216" s="142"/>
      <c r="E216" s="142"/>
      <c r="F216" s="142"/>
      <c r="G216" s="143"/>
      <c r="H216" s="143"/>
      <c r="I216" s="144"/>
      <c r="J216" s="144"/>
      <c r="K216" s="145"/>
      <c r="L216" s="146"/>
      <c r="M216" s="147"/>
      <c r="N216" s="146"/>
      <c r="O216" s="144"/>
      <c r="P216" s="144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  <c r="AF216" s="142"/>
      <c r="AG216" s="142"/>
      <c r="AH216" s="142"/>
      <c r="AI216" s="142"/>
      <c r="AJ216" s="142"/>
    </row>
    <row r="217" ht="13.5" customHeight="1">
      <c r="A217" s="142"/>
      <c r="B217" s="142"/>
      <c r="C217" s="142"/>
      <c r="D217" s="142"/>
      <c r="E217" s="142"/>
      <c r="F217" s="142"/>
      <c r="G217" s="143"/>
      <c r="H217" s="143"/>
      <c r="I217" s="144"/>
      <c r="J217" s="144"/>
      <c r="K217" s="145"/>
      <c r="L217" s="146"/>
      <c r="M217" s="147"/>
      <c r="N217" s="146"/>
      <c r="O217" s="144"/>
      <c r="P217" s="144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42"/>
      <c r="AG217" s="142"/>
      <c r="AH217" s="142"/>
      <c r="AI217" s="142"/>
      <c r="AJ217" s="142"/>
    </row>
    <row r="218" ht="13.5" customHeight="1">
      <c r="A218" s="142"/>
      <c r="B218" s="142"/>
      <c r="C218" s="142"/>
      <c r="D218" s="142"/>
      <c r="E218" s="142"/>
      <c r="F218" s="142"/>
      <c r="G218" s="143"/>
      <c r="H218" s="143"/>
      <c r="I218" s="144"/>
      <c r="J218" s="144"/>
      <c r="K218" s="145"/>
      <c r="L218" s="146"/>
      <c r="M218" s="147"/>
      <c r="N218" s="146"/>
      <c r="O218" s="144"/>
      <c r="P218" s="144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42"/>
      <c r="AG218" s="142"/>
      <c r="AH218" s="142"/>
      <c r="AI218" s="142"/>
      <c r="AJ218" s="142"/>
    </row>
    <row r="219" ht="13.5" customHeight="1">
      <c r="A219" s="142"/>
      <c r="B219" s="142"/>
      <c r="C219" s="142"/>
      <c r="D219" s="142"/>
      <c r="E219" s="142"/>
      <c r="F219" s="142"/>
      <c r="G219" s="143"/>
      <c r="H219" s="143"/>
      <c r="I219" s="144"/>
      <c r="J219" s="144"/>
      <c r="K219" s="145"/>
      <c r="L219" s="146"/>
      <c r="M219" s="147"/>
      <c r="N219" s="146"/>
      <c r="O219" s="144"/>
      <c r="P219" s="144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  <c r="AF219" s="142"/>
      <c r="AG219" s="142"/>
      <c r="AH219" s="142"/>
      <c r="AI219" s="142"/>
      <c r="AJ219" s="142"/>
    </row>
    <row r="220" ht="13.5" customHeight="1">
      <c r="A220" s="142"/>
      <c r="B220" s="142"/>
      <c r="C220" s="142"/>
      <c r="D220" s="142"/>
      <c r="E220" s="142"/>
      <c r="F220" s="142"/>
      <c r="G220" s="143"/>
      <c r="H220" s="143"/>
      <c r="I220" s="144"/>
      <c r="J220" s="144"/>
      <c r="K220" s="145"/>
      <c r="L220" s="146"/>
      <c r="M220" s="147"/>
      <c r="N220" s="146"/>
      <c r="O220" s="144"/>
      <c r="P220" s="144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  <c r="AF220" s="142"/>
      <c r="AG220" s="142"/>
      <c r="AH220" s="142"/>
      <c r="AI220" s="142"/>
      <c r="AJ220" s="142"/>
    </row>
    <row r="221" ht="13.5" customHeight="1">
      <c r="A221" s="142"/>
      <c r="B221" s="142"/>
      <c r="C221" s="142"/>
      <c r="D221" s="142"/>
      <c r="E221" s="142"/>
      <c r="F221" s="142"/>
      <c r="G221" s="143"/>
      <c r="H221" s="143"/>
      <c r="I221" s="144"/>
      <c r="J221" s="144"/>
      <c r="K221" s="145"/>
      <c r="L221" s="146"/>
      <c r="M221" s="147"/>
      <c r="N221" s="146"/>
      <c r="O221" s="144"/>
      <c r="P221" s="144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  <c r="AF221" s="142"/>
      <c r="AG221" s="142"/>
      <c r="AH221" s="142"/>
      <c r="AI221" s="142"/>
      <c r="AJ221" s="142"/>
    </row>
    <row r="222" ht="13.5" customHeight="1">
      <c r="A222" s="142"/>
      <c r="B222" s="142"/>
      <c r="C222" s="142"/>
      <c r="D222" s="142"/>
      <c r="E222" s="142"/>
      <c r="F222" s="142"/>
      <c r="G222" s="143"/>
      <c r="H222" s="143"/>
      <c r="I222" s="144"/>
      <c r="J222" s="144"/>
      <c r="K222" s="145"/>
      <c r="L222" s="146"/>
      <c r="M222" s="147"/>
      <c r="N222" s="146"/>
      <c r="O222" s="144"/>
      <c r="P222" s="144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42"/>
      <c r="AG222" s="142"/>
      <c r="AH222" s="142"/>
      <c r="AI222" s="142"/>
      <c r="AJ222" s="142"/>
    </row>
    <row r="223" ht="13.5" customHeight="1">
      <c r="A223" s="142"/>
      <c r="B223" s="142"/>
      <c r="C223" s="142"/>
      <c r="D223" s="142"/>
      <c r="E223" s="142"/>
      <c r="F223" s="142"/>
      <c r="G223" s="143"/>
      <c r="H223" s="143"/>
      <c r="I223" s="144"/>
      <c r="J223" s="144"/>
      <c r="K223" s="145"/>
      <c r="L223" s="146"/>
      <c r="M223" s="147"/>
      <c r="N223" s="146"/>
      <c r="O223" s="144"/>
      <c r="P223" s="144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  <c r="AF223" s="142"/>
      <c r="AG223" s="142"/>
      <c r="AH223" s="142"/>
      <c r="AI223" s="142"/>
      <c r="AJ223" s="142"/>
    </row>
    <row r="224" ht="13.5" customHeight="1">
      <c r="A224" s="142"/>
      <c r="B224" s="142"/>
      <c r="C224" s="142"/>
      <c r="D224" s="142"/>
      <c r="E224" s="142"/>
      <c r="F224" s="142"/>
      <c r="G224" s="143"/>
      <c r="H224" s="143"/>
      <c r="I224" s="144"/>
      <c r="J224" s="144"/>
      <c r="K224" s="145"/>
      <c r="L224" s="146"/>
      <c r="M224" s="147"/>
      <c r="N224" s="146"/>
      <c r="O224" s="144"/>
      <c r="P224" s="144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  <c r="AF224" s="142"/>
      <c r="AG224" s="142"/>
      <c r="AH224" s="142"/>
      <c r="AI224" s="142"/>
      <c r="AJ224" s="142"/>
    </row>
    <row r="225" ht="13.5" customHeight="1">
      <c r="A225" s="142"/>
      <c r="B225" s="142"/>
      <c r="C225" s="142"/>
      <c r="D225" s="142"/>
      <c r="E225" s="142"/>
      <c r="F225" s="142"/>
      <c r="G225" s="143"/>
      <c r="H225" s="143"/>
      <c r="I225" s="144"/>
      <c r="J225" s="144"/>
      <c r="K225" s="145"/>
      <c r="L225" s="146"/>
      <c r="M225" s="147"/>
      <c r="N225" s="146"/>
      <c r="O225" s="144"/>
      <c r="P225" s="144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  <c r="AF225" s="142"/>
      <c r="AG225" s="142"/>
      <c r="AH225" s="142"/>
      <c r="AI225" s="142"/>
      <c r="AJ225" s="142"/>
    </row>
    <row r="226" ht="13.5" customHeight="1">
      <c r="A226" s="142"/>
      <c r="B226" s="142"/>
      <c r="C226" s="142"/>
      <c r="D226" s="142"/>
      <c r="E226" s="142"/>
      <c r="F226" s="142"/>
      <c r="G226" s="143"/>
      <c r="H226" s="143"/>
      <c r="I226" s="144"/>
      <c r="J226" s="144"/>
      <c r="K226" s="145"/>
      <c r="L226" s="146"/>
      <c r="M226" s="147"/>
      <c r="N226" s="146"/>
      <c r="O226" s="144"/>
      <c r="P226" s="144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142"/>
      <c r="AJ226" s="142"/>
    </row>
    <row r="227" ht="13.5" customHeight="1">
      <c r="A227" s="142"/>
      <c r="B227" s="142"/>
      <c r="C227" s="142"/>
      <c r="D227" s="142"/>
      <c r="E227" s="142"/>
      <c r="F227" s="142"/>
      <c r="G227" s="143"/>
      <c r="H227" s="143"/>
      <c r="I227" s="144"/>
      <c r="J227" s="144"/>
      <c r="K227" s="145"/>
      <c r="L227" s="146"/>
      <c r="M227" s="147"/>
      <c r="N227" s="146"/>
      <c r="O227" s="144"/>
      <c r="P227" s="144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  <c r="AE227" s="142"/>
      <c r="AF227" s="142"/>
      <c r="AG227" s="142"/>
      <c r="AH227" s="142"/>
      <c r="AI227" s="142"/>
      <c r="AJ227" s="14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4:C5"/>
    <mergeCell ref="D4:E4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I2:J2"/>
    <mergeCell ref="K2:L2"/>
    <mergeCell ref="M2:N2"/>
    <mergeCell ref="O2:P2"/>
    <mergeCell ref="I3:L3"/>
    <mergeCell ref="M3:P3"/>
    <mergeCell ref="B4:B5"/>
    <mergeCell ref="P4:P5"/>
  </mergeCells>
  <dataValidations>
    <dataValidation type="list" allowBlank="1" showErrorMessage="1" sqref="M8 M13 M20 M25 M28">
      <formula1>"미착수,착수,수행,PL확인,PM확인,완료"</formula1>
    </dataValidation>
    <dataValidation type="list" allowBlank="1" showErrorMessage="1" sqref="M9:M12 M14:M15 M18:M19 M21:M23 M26:M27">
      <formula1>"미착수,착수,수행1단계,수행2단계,테스트,PL확인,PM확인,완료"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5.14"/>
    <col customWidth="1" min="3" max="3" width="8.71"/>
    <col customWidth="1" min="4" max="4" width="16.0"/>
    <col customWidth="1" min="5" max="5" width="49.86"/>
    <col customWidth="1" min="6" max="6" width="38.86"/>
    <col customWidth="1" min="7" max="7" width="13.57"/>
    <col customWidth="1" min="8" max="8" width="7.86"/>
    <col customWidth="1" min="9" max="10" width="12.57"/>
    <col customWidth="1" min="11" max="11" width="8.57"/>
    <col customWidth="1" min="12" max="12" width="9.14"/>
    <col customWidth="1" min="13" max="13" width="11.57"/>
    <col customWidth="1" min="14" max="14" width="9.0"/>
    <col customWidth="1" min="15" max="16" width="11.29"/>
    <col customWidth="1" min="17" max="17" width="10.86"/>
    <col customWidth="1" min="18" max="36" width="9.0"/>
  </cols>
  <sheetData>
    <row r="1" ht="13.5" customHeight="1">
      <c r="A1" s="142"/>
      <c r="B1" s="142"/>
      <c r="C1" s="142"/>
      <c r="D1" s="142"/>
      <c r="E1" s="142"/>
      <c r="F1" s="142"/>
      <c r="G1" s="143"/>
      <c r="H1" s="143"/>
      <c r="I1" s="144"/>
      <c r="J1" s="144"/>
      <c r="K1" s="145"/>
      <c r="L1" s="146"/>
      <c r="M1" s="147"/>
      <c r="N1" s="146"/>
      <c r="O1" s="144"/>
      <c r="P1" s="144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</row>
    <row r="2" ht="15.0" customHeight="1">
      <c r="A2" s="148"/>
      <c r="B2" s="149" t="s">
        <v>316</v>
      </c>
      <c r="C2" s="148"/>
      <c r="D2" s="148"/>
      <c r="E2" s="148"/>
      <c r="F2" s="148"/>
      <c r="G2" s="150"/>
      <c r="H2" s="150"/>
      <c r="I2" s="151" t="s">
        <v>136</v>
      </c>
      <c r="J2" s="79"/>
      <c r="K2" s="152">
        <f>(SUM(L8:L15)+SUM(L17:L23)+SUM(L25:L27))/(COUNT(L8:L15)+COUNT(L17:L23)+COUNT(L25:L27))</f>
        <v>0.1538461538</v>
      </c>
      <c r="L2" s="79"/>
      <c r="M2" s="153" t="s">
        <v>137</v>
      </c>
      <c r="N2" s="79"/>
      <c r="O2" s="152">
        <f>(SUM(N8:N15)+SUM(N17:N23)+SUM(N25:N27))/(COUNT(N8:N15)+COUNT(N17:N23)+COUNT(N25:N27))</f>
        <v>0.1538461538</v>
      </c>
      <c r="P2" s="45"/>
      <c r="Q2" s="154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</row>
    <row r="3" ht="15.0" customHeight="1">
      <c r="A3" s="148"/>
      <c r="B3" s="150"/>
      <c r="C3" s="39"/>
      <c r="D3" s="39"/>
      <c r="E3" s="39"/>
      <c r="F3" s="148"/>
      <c r="G3" s="150"/>
      <c r="H3" s="150"/>
      <c r="I3" s="245" t="s">
        <v>138</v>
      </c>
      <c r="J3" s="70"/>
      <c r="K3" s="70"/>
      <c r="L3" s="71"/>
      <c r="M3" s="246" t="s">
        <v>139</v>
      </c>
      <c r="N3" s="70"/>
      <c r="O3" s="70"/>
      <c r="P3" s="104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</row>
    <row r="4" ht="20.25" customHeight="1">
      <c r="A4" s="160"/>
      <c r="B4" s="161" t="s">
        <v>117</v>
      </c>
      <c r="C4" s="162" t="s">
        <v>140</v>
      </c>
      <c r="D4" s="163" t="s">
        <v>293</v>
      </c>
      <c r="E4" s="79"/>
      <c r="F4" s="162" t="s">
        <v>142</v>
      </c>
      <c r="G4" s="162" t="s">
        <v>143</v>
      </c>
      <c r="H4" s="162" t="s">
        <v>118</v>
      </c>
      <c r="I4" s="247" t="s">
        <v>144</v>
      </c>
      <c r="J4" s="165" t="s">
        <v>145</v>
      </c>
      <c r="K4" s="165" t="s">
        <v>146</v>
      </c>
      <c r="L4" s="166" t="s">
        <v>149</v>
      </c>
      <c r="M4" s="167" t="s">
        <v>148</v>
      </c>
      <c r="N4" s="167" t="s">
        <v>123</v>
      </c>
      <c r="O4" s="167" t="s">
        <v>150</v>
      </c>
      <c r="P4" s="168" t="s">
        <v>151</v>
      </c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</row>
    <row r="5" ht="20.25" customHeight="1">
      <c r="A5" s="160"/>
      <c r="B5" s="169"/>
      <c r="C5" s="28"/>
      <c r="D5" s="170" t="s">
        <v>152</v>
      </c>
      <c r="E5" s="170" t="s">
        <v>153</v>
      </c>
      <c r="F5" s="28"/>
      <c r="G5" s="28"/>
      <c r="H5" s="28"/>
      <c r="I5" s="248"/>
      <c r="J5" s="28"/>
      <c r="K5" s="28"/>
      <c r="L5" s="28"/>
      <c r="M5" s="28"/>
      <c r="N5" s="28"/>
      <c r="O5" s="28"/>
      <c r="P5" s="171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</row>
    <row r="6" ht="13.5" customHeight="1">
      <c r="A6" s="172"/>
      <c r="B6" s="173" t="s">
        <v>294</v>
      </c>
      <c r="C6" s="174"/>
      <c r="D6" s="174"/>
      <c r="E6" s="174"/>
      <c r="F6" s="174"/>
      <c r="G6" s="175"/>
      <c r="H6" s="249">
        <f>'진척율보고서'!H11</f>
        <v>20</v>
      </c>
      <c r="I6" s="250"/>
      <c r="J6" s="178"/>
      <c r="K6" s="179" t="str">
        <f t="shared" ref="K6:K7" si="1">IF(OR(ISBLANK($I6), ISBLANK($J6)),"",NETWORKDAYS($I6,$J6))</f>
        <v/>
      </c>
      <c r="L6" s="180">
        <f>K2*H6/100</f>
        <v>0.03076923077</v>
      </c>
      <c r="M6" s="181"/>
      <c r="N6" s="182">
        <f>O2*H6/100</f>
        <v>0.03076923077</v>
      </c>
      <c r="O6" s="178"/>
      <c r="P6" s="183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</row>
    <row r="7" ht="13.5" customHeight="1">
      <c r="A7" s="142"/>
      <c r="B7" s="184"/>
      <c r="C7" s="185" t="s">
        <v>295</v>
      </c>
      <c r="D7" s="186"/>
      <c r="E7" s="186"/>
      <c r="F7" s="186"/>
      <c r="G7" s="187"/>
      <c r="H7" s="221"/>
      <c r="I7" s="222">
        <f>MIN(I8:I15)</f>
        <v>46076</v>
      </c>
      <c r="J7" s="189">
        <f>MAX(J8:J15)</f>
        <v>46200</v>
      </c>
      <c r="K7" s="190">
        <f t="shared" si="1"/>
        <v>90</v>
      </c>
      <c r="L7" s="191">
        <f>SUM(L8:L15)/COUNT(L8:L15)</f>
        <v>0.3333333333</v>
      </c>
      <c r="M7" s="192"/>
      <c r="N7" s="193">
        <f>SUM(N8:N15)/COUNT(N8:N15)</f>
        <v>0.3333333333</v>
      </c>
      <c r="O7" s="189"/>
      <c r="P7" s="194"/>
      <c r="Q7" s="195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ht="13.5" customHeight="1">
      <c r="A8" s="142"/>
      <c r="B8" s="184"/>
      <c r="C8" s="196"/>
      <c r="D8" s="197" t="s">
        <v>296</v>
      </c>
      <c r="E8" s="197"/>
      <c r="F8" s="197"/>
      <c r="G8" s="198"/>
      <c r="H8" s="223"/>
      <c r="I8" s="224"/>
      <c r="J8" s="200"/>
      <c r="K8" s="201"/>
      <c r="L8" s="202"/>
      <c r="M8" s="203"/>
      <c r="N8" s="204"/>
      <c r="O8" s="224"/>
      <c r="P8" s="205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</row>
    <row r="9" ht="13.5" customHeight="1">
      <c r="A9" s="142"/>
      <c r="B9" s="184"/>
      <c r="C9" s="196"/>
      <c r="D9" s="196"/>
      <c r="E9" s="196" t="s">
        <v>297</v>
      </c>
      <c r="F9" s="196"/>
      <c r="G9" s="217" t="s">
        <v>168</v>
      </c>
      <c r="H9" s="251"/>
      <c r="I9" s="219">
        <v>46076.0</v>
      </c>
      <c r="J9" s="219">
        <v>46080.0</v>
      </c>
      <c r="K9" s="211">
        <f t="shared" ref="K9:K12" si="2">IF(OR(ISBLANK($I9), ISBLANK($J9)),"",NETWORKDAYS($I9,$J9))</f>
        <v>5</v>
      </c>
      <c r="L9" s="212">
        <f>IF(OR(ISBLANK($I9), ISBLANK($J9)), "", IF('진척율보고서'!$M$4 &lt; $I9, 0, IF('진척율보고서'!$M$4 &gt;= $J9, 1, NETWORKDAYS($I9,'진척율보고서'!$M$4)/$K9)))</f>
        <v>1</v>
      </c>
      <c r="M9" s="213" t="s">
        <v>158</v>
      </c>
      <c r="N9" s="214">
        <f t="shared" ref="N9:N12" si="3">IF($M9="완료",1,IF($M9="PM확인",0.95,IF($M9="PL확인",0.8,IF($M9="테스트",0.7,IF($M9="수행2단계",0.55,IF($M9="수행1단계",0.35,IF($M9="착수",0.2,IF($M9="미착수",0,""))))))))</f>
        <v>1</v>
      </c>
      <c r="O9" s="215"/>
      <c r="P9" s="216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ht="13.5" customHeight="1">
      <c r="A10" s="142"/>
      <c r="B10" s="184"/>
      <c r="C10" s="196"/>
      <c r="D10" s="196"/>
      <c r="E10" s="196" t="s">
        <v>298</v>
      </c>
      <c r="F10" s="196"/>
      <c r="G10" s="217" t="s">
        <v>232</v>
      </c>
      <c r="H10" s="251"/>
      <c r="I10" s="219">
        <v>46084.0</v>
      </c>
      <c r="J10" s="219">
        <v>46094.0</v>
      </c>
      <c r="K10" s="211">
        <f t="shared" si="2"/>
        <v>9</v>
      </c>
      <c r="L10" s="212">
        <f>IF(OR(ISBLANK($I10), ISBLANK($J10)), "", IF('진척율보고서'!$M$4 &lt; $I10, 0, IF('진척율보고서'!$M$4 &gt;= $J10, 1, NETWORKDAYS($I10,'진척율보고서'!$M$4)/$K10)))</f>
        <v>1</v>
      </c>
      <c r="M10" s="213" t="s">
        <v>158</v>
      </c>
      <c r="N10" s="214">
        <f t="shared" si="3"/>
        <v>1</v>
      </c>
      <c r="O10" s="215"/>
      <c r="P10" s="216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ht="13.5" customHeight="1">
      <c r="A11" s="142"/>
      <c r="B11" s="184"/>
      <c r="C11" s="196"/>
      <c r="D11" s="196"/>
      <c r="E11" s="252" t="s">
        <v>299</v>
      </c>
      <c r="F11" s="196"/>
      <c r="G11" s="217" t="s">
        <v>232</v>
      </c>
      <c r="H11" s="251"/>
      <c r="I11" s="219">
        <v>46167.0</v>
      </c>
      <c r="J11" s="219">
        <v>46173.0</v>
      </c>
      <c r="K11" s="211">
        <f t="shared" si="2"/>
        <v>5</v>
      </c>
      <c r="L11" s="212">
        <f>IF(OR(ISBLANK($I11), ISBLANK($J11)), "", IF('진척율보고서'!$M$4 &lt; $I11, 0, IF('진척율보고서'!$M$4 &gt;= $J11, 1, NETWORKDAYS($I11,'진척율보고서'!$M$4)/$K11)))</f>
        <v>0</v>
      </c>
      <c r="M11" s="213" t="s">
        <v>163</v>
      </c>
      <c r="N11" s="214">
        <f t="shared" si="3"/>
        <v>0</v>
      </c>
      <c r="O11" s="215"/>
      <c r="P11" s="216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</row>
    <row r="12" ht="13.5" customHeight="1">
      <c r="A12" s="142"/>
      <c r="B12" s="184"/>
      <c r="C12" s="196"/>
      <c r="D12" s="196"/>
      <c r="E12" s="196" t="s">
        <v>300</v>
      </c>
      <c r="F12" s="196"/>
      <c r="G12" s="217" t="s">
        <v>168</v>
      </c>
      <c r="H12" s="251"/>
      <c r="I12" s="219">
        <v>46196.0</v>
      </c>
      <c r="J12" s="210">
        <v>46200.0</v>
      </c>
      <c r="K12" s="211">
        <f t="shared" si="2"/>
        <v>4</v>
      </c>
      <c r="L12" s="212">
        <f>IF(OR(ISBLANK($I12), ISBLANK($J12)), "", IF('진척율보고서'!$M$4 &lt; $I12, 0, IF('진척율보고서'!$M$4 &gt;= $J12, 1, NETWORKDAYS($I12,'진척율보고서'!$M$4)/$K12)))</f>
        <v>0</v>
      </c>
      <c r="M12" s="213" t="s">
        <v>163</v>
      </c>
      <c r="N12" s="214">
        <f t="shared" si="3"/>
        <v>0</v>
      </c>
      <c r="O12" s="215"/>
      <c r="P12" s="216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</row>
    <row r="13" ht="13.5" customHeight="1">
      <c r="A13" s="142"/>
      <c r="B13" s="184"/>
      <c r="C13" s="196"/>
      <c r="D13" s="197" t="s">
        <v>301</v>
      </c>
      <c r="E13" s="197"/>
      <c r="F13" s="197"/>
      <c r="G13" s="198"/>
      <c r="H13" s="223"/>
      <c r="I13" s="224"/>
      <c r="J13" s="200"/>
      <c r="K13" s="201"/>
      <c r="L13" s="202"/>
      <c r="M13" s="203"/>
      <c r="N13" s="204"/>
      <c r="O13" s="200"/>
      <c r="P13" s="205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</row>
    <row r="14" ht="13.5" customHeight="1">
      <c r="A14" s="230"/>
      <c r="B14" s="231"/>
      <c r="C14" s="196"/>
      <c r="D14" s="196"/>
      <c r="E14" s="196" t="s">
        <v>302</v>
      </c>
      <c r="F14" s="206"/>
      <c r="G14" s="217" t="s">
        <v>168</v>
      </c>
      <c r="H14" s="253"/>
      <c r="I14" s="219">
        <v>46174.0</v>
      </c>
      <c r="J14" s="210">
        <v>46185.0</v>
      </c>
      <c r="K14" s="211">
        <f t="shared" ref="K14:K16" si="4">IF(OR(ISBLANK($I14), ISBLANK($J14)),"",NETWORKDAYS($I14,$J14))</f>
        <v>10</v>
      </c>
      <c r="L14" s="212">
        <f>IF(OR(ISBLANK($I14), ISBLANK($J14)), "", IF('진척율보고서'!$M$4 &lt; $I14, 0, IF('진척율보고서'!$M$4 &gt;= $J14, 1, NETWORKDAYS($I14,'진척율보고서'!$M$4)/$K14)))</f>
        <v>0</v>
      </c>
      <c r="M14" s="213" t="s">
        <v>163</v>
      </c>
      <c r="N14" s="214">
        <f t="shared" ref="N14:N15" si="5">IF($M14="완료",1,IF($M14="PM확인",0.95,IF($M14="PL확인",0.8,IF($M14="테스트",0.7,IF($M14="수행2단계",0.55,IF($M14="수행1단계",0.35,IF($M14="착수",0.2,IF($M14="미착수",0,""))))))))</f>
        <v>0</v>
      </c>
      <c r="O14" s="215"/>
      <c r="P14" s="216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</row>
    <row r="15" ht="13.5" customHeight="1">
      <c r="A15" s="142"/>
      <c r="B15" s="184"/>
      <c r="C15" s="196"/>
      <c r="D15" s="196"/>
      <c r="E15" s="196" t="s">
        <v>303</v>
      </c>
      <c r="F15" s="196"/>
      <c r="G15" s="217" t="s">
        <v>168</v>
      </c>
      <c r="H15" s="251"/>
      <c r="I15" s="219">
        <v>46188.0</v>
      </c>
      <c r="J15" s="210">
        <v>46192.0</v>
      </c>
      <c r="K15" s="211">
        <f t="shared" si="4"/>
        <v>5</v>
      </c>
      <c r="L15" s="212">
        <f>IF(OR(ISBLANK($I15), ISBLANK($J15)), "", IF('진척율보고서'!$M$4 &lt; $I15, 0, IF('진척율보고서'!$M$4 &gt;= $J15, 1, NETWORKDAYS($I15,'진척율보고서'!$M$4)/$K15)))</f>
        <v>0</v>
      </c>
      <c r="M15" s="213" t="s">
        <v>163</v>
      </c>
      <c r="N15" s="214">
        <f t="shared" si="5"/>
        <v>0</v>
      </c>
      <c r="O15" s="219"/>
      <c r="P15" s="216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ht="13.5" customHeight="1">
      <c r="A16" s="142"/>
      <c r="B16" s="184"/>
      <c r="C16" s="185" t="s">
        <v>304</v>
      </c>
      <c r="D16" s="186"/>
      <c r="E16" s="186"/>
      <c r="F16" s="186"/>
      <c r="G16" s="187"/>
      <c r="H16" s="221"/>
      <c r="I16" s="222">
        <f>MIN(I17:I23)</f>
        <v>46195</v>
      </c>
      <c r="J16" s="189">
        <f>MAX(J17:J23)</f>
        <v>46295</v>
      </c>
      <c r="K16" s="190">
        <f t="shared" si="4"/>
        <v>73</v>
      </c>
      <c r="L16" s="191">
        <f>SUM(L17:L23)/COUNT(L17:L23)</f>
        <v>0</v>
      </c>
      <c r="M16" s="192"/>
      <c r="N16" s="193">
        <f>SUM(N17:N23)/COUNT(N17:N23)</f>
        <v>0</v>
      </c>
      <c r="O16" s="189"/>
      <c r="P16" s="194"/>
      <c r="Q16" s="195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</row>
    <row r="17" ht="13.5" customHeight="1">
      <c r="A17" s="142" t="s">
        <v>313</v>
      </c>
      <c r="B17" s="184"/>
      <c r="C17" s="254"/>
      <c r="D17" s="197" t="s">
        <v>305</v>
      </c>
      <c r="E17" s="197"/>
      <c r="F17" s="197"/>
      <c r="G17" s="198"/>
      <c r="H17" s="223"/>
      <c r="I17" s="255"/>
      <c r="J17" s="256"/>
      <c r="K17" s="257"/>
      <c r="L17" s="258"/>
      <c r="M17" s="259"/>
      <c r="N17" s="260"/>
      <c r="O17" s="256"/>
      <c r="P17" s="261"/>
      <c r="Q17" s="195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ht="14.25" customHeight="1">
      <c r="A18" s="142"/>
      <c r="B18" s="184"/>
      <c r="C18" s="196"/>
      <c r="D18" s="196"/>
      <c r="E18" s="196" t="s">
        <v>306</v>
      </c>
      <c r="F18" s="206"/>
      <c r="G18" s="217" t="s">
        <v>168</v>
      </c>
      <c r="H18" s="262"/>
      <c r="I18" s="219">
        <v>46195.0</v>
      </c>
      <c r="J18" s="210">
        <v>46199.0</v>
      </c>
      <c r="K18" s="211">
        <f t="shared" ref="K18:K19" si="6">IF(OR(ISBLANK($I18), ISBLANK($J18)),"",NETWORKDAYS($I18,$J18))</f>
        <v>5</v>
      </c>
      <c r="L18" s="212">
        <f>IF(OR(ISBLANK($I18), ISBLANK($J18)), "", IF('진척율보고서'!$M$4 &lt; $I18, 0, IF('진척율보고서'!$M$4 &gt;= $J18, 1, NETWORKDAYS($I18,'진척율보고서'!$M$4)/$K18)))</f>
        <v>0</v>
      </c>
      <c r="M18" s="213" t="s">
        <v>163</v>
      </c>
      <c r="N18" s="214">
        <f t="shared" ref="N18:N19" si="7">IF($M18="완료",1,IF($M18="PM확인",0.95,IF($M18="PL확인",0.8,IF($M18="테스트",0.7,IF($M18="수행2단계",0.55,IF($M18="수행1단계",0.35,IF($M18="착수",0.2,IF($M18="미착수",0,""))))))))</f>
        <v>0</v>
      </c>
      <c r="O18" s="227"/>
      <c r="P18" s="229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</row>
    <row r="19" ht="14.25" customHeight="1">
      <c r="A19" s="142"/>
      <c r="B19" s="184"/>
      <c r="C19" s="196"/>
      <c r="D19" s="196"/>
      <c r="E19" s="196" t="s">
        <v>307</v>
      </c>
      <c r="F19" s="206"/>
      <c r="G19" s="217" t="s">
        <v>168</v>
      </c>
      <c r="H19" s="262"/>
      <c r="I19" s="219">
        <v>46202.0</v>
      </c>
      <c r="J19" s="210">
        <v>46206.0</v>
      </c>
      <c r="K19" s="211">
        <f t="shared" si="6"/>
        <v>5</v>
      </c>
      <c r="L19" s="212">
        <f>IF(OR(ISBLANK($I19), ISBLANK($J19)), "", IF('진척율보고서'!$M$4 &lt; $I19, 0, IF('진척율보고서'!$M$4 &gt;= $J19, 1, NETWORKDAYS($I19,'진척율보고서'!$M$4)/$K19)))</f>
        <v>0</v>
      </c>
      <c r="M19" s="213" t="s">
        <v>163</v>
      </c>
      <c r="N19" s="214">
        <f t="shared" si="7"/>
        <v>0</v>
      </c>
      <c r="O19" s="227"/>
      <c r="P19" s="229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ht="13.5" customHeight="1">
      <c r="A20" s="230"/>
      <c r="B20" s="231"/>
      <c r="C20" s="196"/>
      <c r="D20" s="197" t="s">
        <v>308</v>
      </c>
      <c r="E20" s="197"/>
      <c r="F20" s="197"/>
      <c r="G20" s="198"/>
      <c r="H20" s="223"/>
      <c r="I20" s="224"/>
      <c r="J20" s="200"/>
      <c r="K20" s="201"/>
      <c r="L20" s="202"/>
      <c r="M20" s="203"/>
      <c r="N20" s="204"/>
      <c r="O20" s="224"/>
      <c r="P20" s="205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  <c r="AJ20" s="230"/>
    </row>
    <row r="21" ht="14.25" customHeight="1">
      <c r="A21" s="142"/>
      <c r="B21" s="184"/>
      <c r="C21" s="196"/>
      <c r="D21" s="218"/>
      <c r="E21" s="196" t="s">
        <v>309</v>
      </c>
      <c r="F21" s="196"/>
      <c r="G21" s="217" t="s">
        <v>168</v>
      </c>
      <c r="H21" s="262"/>
      <c r="I21" s="210">
        <v>46209.0</v>
      </c>
      <c r="J21" s="210">
        <v>46234.0</v>
      </c>
      <c r="K21" s="211">
        <f t="shared" ref="K21:K24" si="8">IF(OR(ISBLANK($I21), ISBLANK($J21)),"",NETWORKDAYS($I21,$J21))</f>
        <v>20</v>
      </c>
      <c r="L21" s="212">
        <f>IF(OR(ISBLANK($I21), ISBLANK($J21)), "", IF('진척율보고서'!$M$4 &lt; $I21, 0, IF('진척율보고서'!$M$4 &gt;= $J21, 1, NETWORKDAYS($I21,'진척율보고서'!$M$4)/$K21)))</f>
        <v>0</v>
      </c>
      <c r="M21" s="213" t="s">
        <v>163</v>
      </c>
      <c r="N21" s="214">
        <f t="shared" ref="N21:N23" si="9">IF($M21="완료",1,IF($M21="PM확인",0.95,IF($M21="PL확인",0.8,IF($M21="테스트",0.7,IF($M21="수행2단계",0.55,IF($M21="수행1단계",0.35,IF($M21="착수",0.2,IF($M21="미착수",0,""))))))))</f>
        <v>0</v>
      </c>
      <c r="O21" s="227"/>
      <c r="P21" s="229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</row>
    <row r="22" ht="14.25" customHeight="1">
      <c r="A22" s="142"/>
      <c r="B22" s="184"/>
      <c r="C22" s="196"/>
      <c r="D22" s="218"/>
      <c r="E22" s="252" t="s">
        <v>310</v>
      </c>
      <c r="F22" s="252"/>
      <c r="G22" s="217" t="s">
        <v>168</v>
      </c>
      <c r="H22" s="263"/>
      <c r="I22" s="264">
        <v>46237.0</v>
      </c>
      <c r="J22" s="264">
        <v>46283.0</v>
      </c>
      <c r="K22" s="211">
        <f t="shared" si="8"/>
        <v>35</v>
      </c>
      <c r="L22" s="212">
        <f>IF(OR(ISBLANK($I22), ISBLANK($J22)), "", IF('진척율보고서'!$M$4 &lt; $I22, 0, IF('진척율보고서'!$M$4 &gt;= $J22, 1, NETWORKDAYS($I22,'진척율보고서'!$M$4)/$K22)))</f>
        <v>0</v>
      </c>
      <c r="M22" s="213" t="s">
        <v>163</v>
      </c>
      <c r="N22" s="214">
        <f t="shared" si="9"/>
        <v>0</v>
      </c>
      <c r="O22" s="227"/>
      <c r="P22" s="229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</row>
    <row r="23" ht="14.25" customHeight="1">
      <c r="A23" s="142"/>
      <c r="B23" s="184"/>
      <c r="C23" s="196"/>
      <c r="D23" s="218"/>
      <c r="E23" s="196" t="s">
        <v>311</v>
      </c>
      <c r="F23" s="196"/>
      <c r="G23" s="217" t="s">
        <v>168</v>
      </c>
      <c r="H23" s="262"/>
      <c r="I23" s="264">
        <v>46286.0</v>
      </c>
      <c r="J23" s="264">
        <v>46295.0</v>
      </c>
      <c r="K23" s="211">
        <f t="shared" si="8"/>
        <v>8</v>
      </c>
      <c r="L23" s="212">
        <f>IF(OR(ISBLANK($I23), ISBLANK($J23)), "", IF('진척율보고서'!$M$4 &lt; $I23, 0, IF('진척율보고서'!$M$4 &gt;= $J23, 1, NETWORKDAYS($I23,'진척율보고서'!$M$4)/$K23)))</f>
        <v>0</v>
      </c>
      <c r="M23" s="213" t="s">
        <v>163</v>
      </c>
      <c r="N23" s="214">
        <f t="shared" si="9"/>
        <v>0</v>
      </c>
      <c r="O23" s="227"/>
      <c r="P23" s="229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</row>
    <row r="24" ht="13.5" customHeight="1">
      <c r="A24" s="142"/>
      <c r="B24" s="184"/>
      <c r="C24" s="186" t="s">
        <v>312</v>
      </c>
      <c r="D24" s="186"/>
      <c r="E24" s="186"/>
      <c r="F24" s="186"/>
      <c r="G24" s="187"/>
      <c r="H24" s="221"/>
      <c r="I24" s="222">
        <f>MIN(I25:I27)</f>
        <v>46296</v>
      </c>
      <c r="J24" s="189">
        <f>MAX(J25:J27)</f>
        <v>46311</v>
      </c>
      <c r="K24" s="190">
        <f t="shared" si="8"/>
        <v>12</v>
      </c>
      <c r="L24" s="191">
        <f>SUM(L25:L27)/COUNT(L25:L27)</f>
        <v>0</v>
      </c>
      <c r="M24" s="192"/>
      <c r="N24" s="193">
        <f>SUM(N25:N27)/COUNT(N25:N27)</f>
        <v>0</v>
      </c>
      <c r="O24" s="189"/>
      <c r="P24" s="194"/>
      <c r="Q24" s="195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</row>
    <row r="25" ht="13.5" customHeight="1">
      <c r="A25" s="230"/>
      <c r="B25" s="231"/>
      <c r="C25" s="196"/>
      <c r="D25" s="197" t="s">
        <v>312</v>
      </c>
      <c r="E25" s="197"/>
      <c r="F25" s="197"/>
      <c r="G25" s="198"/>
      <c r="H25" s="223"/>
      <c r="I25" s="224"/>
      <c r="J25" s="200"/>
      <c r="K25" s="201"/>
      <c r="L25" s="202"/>
      <c r="M25" s="203"/>
      <c r="N25" s="204"/>
      <c r="O25" s="224"/>
      <c r="P25" s="205"/>
      <c r="Q25" s="230"/>
      <c r="R25" s="230"/>
      <c r="S25" s="230"/>
      <c r="T25" s="230"/>
      <c r="U25" s="230"/>
      <c r="V25" s="230"/>
      <c r="W25" s="230"/>
      <c r="X25" s="230"/>
      <c r="Y25" s="230"/>
      <c r="Z25" s="230"/>
      <c r="AA25" s="230"/>
      <c r="AB25" s="230"/>
      <c r="AC25" s="230"/>
      <c r="AD25" s="230"/>
      <c r="AE25" s="230"/>
      <c r="AF25" s="230"/>
      <c r="AG25" s="230"/>
      <c r="AH25" s="230"/>
      <c r="AI25" s="230"/>
      <c r="AJ25" s="230"/>
    </row>
    <row r="26" ht="14.25" customHeight="1">
      <c r="A26" s="142"/>
      <c r="B26" s="184"/>
      <c r="C26" s="196"/>
      <c r="D26" s="196"/>
      <c r="E26" s="196" t="s">
        <v>314</v>
      </c>
      <c r="F26" s="206"/>
      <c r="G26" s="217" t="s">
        <v>168</v>
      </c>
      <c r="H26" s="262"/>
      <c r="I26" s="227">
        <v>46296.0</v>
      </c>
      <c r="J26" s="264">
        <v>46311.0</v>
      </c>
      <c r="K26" s="211">
        <f t="shared" ref="K26:K27" si="10">IF(OR(ISBLANK($I26), ISBLANK($J26)),"",NETWORKDAYS($I26,$J26))</f>
        <v>12</v>
      </c>
      <c r="L26" s="212">
        <f>IF(OR(ISBLANK($I26), ISBLANK($J26)), "", IF('진척율보고서'!$M$4 &lt; $I26, 0, IF('진척율보고서'!$M$4 &gt;= $J26, 1, NETWORKDAYS($I26,'진척율보고서'!$M$4)/$K26)))</f>
        <v>0</v>
      </c>
      <c r="M26" s="213" t="s">
        <v>163</v>
      </c>
      <c r="N26" s="214">
        <f t="shared" ref="N26:N27" si="11">IF($M26="완료",1,IF($M26="PM확인",0.95,IF($M26="PL확인",0.8,IF($M26="테스트",0.7,IF($M26="수행2단계",0.55,IF($M26="수행1단계",0.35,IF($M26="착수",0.2,IF($M26="미착수",0,""))))))))</f>
        <v>0</v>
      </c>
      <c r="O26" s="227"/>
      <c r="P26" s="229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</row>
    <row r="27" ht="14.25" customHeight="1">
      <c r="A27" s="142"/>
      <c r="B27" s="184"/>
      <c r="C27" s="196"/>
      <c r="D27" s="196"/>
      <c r="E27" s="196" t="s">
        <v>315</v>
      </c>
      <c r="F27" s="196"/>
      <c r="G27" s="217" t="s">
        <v>168</v>
      </c>
      <c r="H27" s="262"/>
      <c r="I27" s="227">
        <v>46296.0</v>
      </c>
      <c r="J27" s="227">
        <v>46296.0</v>
      </c>
      <c r="K27" s="211">
        <f t="shared" si="10"/>
        <v>1</v>
      </c>
      <c r="L27" s="212">
        <f>IF(OR(ISBLANK($I27), ISBLANK($J27)), "", IF('진척율보고서'!$M$4 &lt; $I27, 0, IF('진척율보고서'!$M$4 &gt;= $J27, 1, NETWORKDAYS($I27,'진척율보고서'!$M$4)/$K27)))</f>
        <v>0</v>
      </c>
      <c r="M27" s="213" t="s">
        <v>163</v>
      </c>
      <c r="N27" s="214">
        <f t="shared" si="11"/>
        <v>0</v>
      </c>
      <c r="O27" s="227"/>
      <c r="P27" s="229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</row>
    <row r="28" ht="13.5" customHeight="1">
      <c r="A28" s="233"/>
      <c r="B28" s="234"/>
      <c r="C28" s="235"/>
      <c r="D28" s="235"/>
      <c r="E28" s="235"/>
      <c r="F28" s="235"/>
      <c r="G28" s="236"/>
      <c r="H28" s="265"/>
      <c r="I28" s="266"/>
      <c r="J28" s="238"/>
      <c r="K28" s="239"/>
      <c r="L28" s="240"/>
      <c r="M28" s="241"/>
      <c r="N28" s="242"/>
      <c r="O28" s="243"/>
      <c r="P28" s="244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</row>
    <row r="29" ht="13.5" customHeight="1">
      <c r="A29" s="142"/>
      <c r="B29" s="142"/>
      <c r="C29" s="142"/>
      <c r="D29" s="142"/>
      <c r="E29" s="142"/>
      <c r="F29" s="142"/>
      <c r="G29" s="143"/>
      <c r="H29" s="143"/>
      <c r="I29" s="144"/>
      <c r="J29" s="144"/>
      <c r="K29" s="145"/>
      <c r="L29" s="146"/>
      <c r="M29" s="147"/>
      <c r="N29" s="146"/>
      <c r="O29" s="144"/>
      <c r="P29" s="144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ht="13.5" customHeight="1">
      <c r="A30" s="142"/>
      <c r="B30" s="142"/>
      <c r="C30" s="142"/>
      <c r="D30" s="142"/>
      <c r="E30" s="142"/>
      <c r="F30" s="142"/>
      <c r="G30" s="143"/>
      <c r="H30" s="143"/>
      <c r="I30" s="144"/>
      <c r="J30" s="144"/>
      <c r="K30" s="145"/>
      <c r="L30" s="146"/>
      <c r="M30" s="147"/>
      <c r="N30" s="146"/>
      <c r="O30" s="144"/>
      <c r="P30" s="144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ht="13.5" customHeight="1">
      <c r="A31" s="142"/>
      <c r="B31" s="142"/>
      <c r="C31" s="142"/>
      <c r="D31" s="142"/>
      <c r="E31" s="142"/>
      <c r="F31" s="142"/>
      <c r="G31" s="143"/>
      <c r="H31" s="143"/>
      <c r="I31" s="144"/>
      <c r="J31" s="144"/>
      <c r="K31" s="145"/>
      <c r="L31" s="146"/>
      <c r="M31" s="147"/>
      <c r="N31" s="146"/>
      <c r="O31" s="144"/>
      <c r="P31" s="144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</row>
    <row r="32" ht="13.5" customHeight="1">
      <c r="A32" s="142"/>
      <c r="B32" s="142"/>
      <c r="C32" s="142"/>
      <c r="D32" s="142"/>
      <c r="E32" s="142"/>
      <c r="F32" s="142"/>
      <c r="G32" s="143"/>
      <c r="H32" s="143"/>
      <c r="I32" s="144"/>
      <c r="J32" s="144"/>
      <c r="K32" s="145"/>
      <c r="L32" s="146"/>
      <c r="M32" s="147"/>
      <c r="N32" s="146"/>
      <c r="O32" s="144"/>
      <c r="P32" s="144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</row>
    <row r="33" ht="13.5" customHeight="1">
      <c r="A33" s="142"/>
      <c r="B33" s="142"/>
      <c r="C33" s="142"/>
      <c r="D33" s="142"/>
      <c r="E33" s="142"/>
      <c r="F33" s="142"/>
      <c r="G33" s="143"/>
      <c r="H33" s="143"/>
      <c r="I33" s="144"/>
      <c r="J33" s="144"/>
      <c r="K33" s="145"/>
      <c r="L33" s="146"/>
      <c r="M33" s="147"/>
      <c r="N33" s="146"/>
      <c r="O33" s="144"/>
      <c r="P33" s="144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</row>
    <row r="34" ht="13.5" customHeight="1">
      <c r="A34" s="142"/>
      <c r="B34" s="142"/>
      <c r="C34" s="142"/>
      <c r="D34" s="142"/>
      <c r="E34" s="142"/>
      <c r="F34" s="142"/>
      <c r="G34" s="143"/>
      <c r="H34" s="143"/>
      <c r="I34" s="144"/>
      <c r="J34" s="144"/>
      <c r="K34" s="145"/>
      <c r="L34" s="146"/>
      <c r="M34" s="147"/>
      <c r="N34" s="146"/>
      <c r="O34" s="144"/>
      <c r="P34" s="144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</row>
    <row r="35" ht="13.5" customHeight="1">
      <c r="A35" s="142"/>
      <c r="B35" s="142"/>
      <c r="C35" s="142"/>
      <c r="D35" s="142"/>
      <c r="E35" s="142"/>
      <c r="F35" s="142"/>
      <c r="G35" s="143"/>
      <c r="H35" s="143"/>
      <c r="I35" s="144"/>
      <c r="J35" s="144"/>
      <c r="K35" s="145"/>
      <c r="L35" s="146"/>
      <c r="M35" s="147"/>
      <c r="N35" s="146"/>
      <c r="O35" s="144"/>
      <c r="P35" s="144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</row>
    <row r="36" ht="13.5" customHeight="1">
      <c r="A36" s="142"/>
      <c r="B36" s="142"/>
      <c r="C36" s="142"/>
      <c r="D36" s="142"/>
      <c r="E36" s="142"/>
      <c r="F36" s="142"/>
      <c r="G36" s="143"/>
      <c r="H36" s="143"/>
      <c r="I36" s="144"/>
      <c r="J36" s="144"/>
      <c r="K36" s="145"/>
      <c r="L36" s="146"/>
      <c r="M36" s="147"/>
      <c r="N36" s="146"/>
      <c r="O36" s="144"/>
      <c r="P36" s="144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</row>
    <row r="37" ht="13.5" customHeight="1">
      <c r="A37" s="142"/>
      <c r="B37" s="142"/>
      <c r="C37" s="142"/>
      <c r="D37" s="142"/>
      <c r="E37" s="142"/>
      <c r="F37" s="142"/>
      <c r="G37" s="143"/>
      <c r="H37" s="143"/>
      <c r="I37" s="144"/>
      <c r="J37" s="144"/>
      <c r="K37" s="145"/>
      <c r="L37" s="146"/>
      <c r="M37" s="147"/>
      <c r="N37" s="146"/>
      <c r="O37" s="144"/>
      <c r="P37" s="144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ht="13.5" customHeight="1">
      <c r="A38" s="142"/>
      <c r="B38" s="142"/>
      <c r="C38" s="142"/>
      <c r="D38" s="142"/>
      <c r="E38" s="142"/>
      <c r="F38" s="142"/>
      <c r="G38" s="143"/>
      <c r="H38" s="143"/>
      <c r="I38" s="144"/>
      <c r="J38" s="144"/>
      <c r="K38" s="145"/>
      <c r="L38" s="146"/>
      <c r="M38" s="147"/>
      <c r="N38" s="146"/>
      <c r="O38" s="144"/>
      <c r="P38" s="144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</row>
    <row r="39" ht="13.5" customHeight="1">
      <c r="A39" s="142"/>
      <c r="B39" s="142"/>
      <c r="C39" s="142"/>
      <c r="D39" s="142"/>
      <c r="E39" s="142"/>
      <c r="F39" s="142"/>
      <c r="G39" s="143"/>
      <c r="H39" s="143"/>
      <c r="I39" s="144"/>
      <c r="J39" s="144"/>
      <c r="K39" s="145"/>
      <c r="L39" s="146"/>
      <c r="M39" s="147"/>
      <c r="N39" s="146"/>
      <c r="O39" s="144"/>
      <c r="P39" s="144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</row>
    <row r="40" ht="13.5" customHeight="1">
      <c r="A40" s="142"/>
      <c r="B40" s="142"/>
      <c r="C40" s="142"/>
      <c r="D40" s="142"/>
      <c r="E40" s="142"/>
      <c r="F40" s="142"/>
      <c r="G40" s="143"/>
      <c r="H40" s="143"/>
      <c r="I40" s="144"/>
      <c r="J40" s="144"/>
      <c r="K40" s="145"/>
      <c r="L40" s="146"/>
      <c r="M40" s="147"/>
      <c r="N40" s="146"/>
      <c r="O40" s="144"/>
      <c r="P40" s="144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</row>
    <row r="41" ht="13.5" customHeight="1">
      <c r="A41" s="142"/>
      <c r="B41" s="142"/>
      <c r="C41" s="142"/>
      <c r="D41" s="142"/>
      <c r="E41" s="142"/>
      <c r="F41" s="142"/>
      <c r="G41" s="143"/>
      <c r="H41" s="143"/>
      <c r="I41" s="144"/>
      <c r="J41" s="144"/>
      <c r="K41" s="145"/>
      <c r="L41" s="146"/>
      <c r="M41" s="147"/>
      <c r="N41" s="146"/>
      <c r="O41" s="144"/>
      <c r="P41" s="144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</row>
    <row r="42" ht="13.5" customHeight="1">
      <c r="A42" s="142"/>
      <c r="B42" s="142"/>
      <c r="C42" s="142"/>
      <c r="D42" s="142"/>
      <c r="E42" s="142"/>
      <c r="F42" s="142"/>
      <c r="G42" s="143"/>
      <c r="H42" s="143"/>
      <c r="I42" s="144"/>
      <c r="J42" s="144"/>
      <c r="K42" s="145"/>
      <c r="L42" s="146"/>
      <c r="M42" s="147"/>
      <c r="N42" s="146"/>
      <c r="O42" s="144"/>
      <c r="P42" s="144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</row>
    <row r="43" ht="13.5" customHeight="1">
      <c r="A43" s="142"/>
      <c r="B43" s="142"/>
      <c r="C43" s="142"/>
      <c r="D43" s="142"/>
      <c r="E43" s="142"/>
      <c r="F43" s="142"/>
      <c r="G43" s="143"/>
      <c r="H43" s="143"/>
      <c r="I43" s="144"/>
      <c r="J43" s="144"/>
      <c r="K43" s="145"/>
      <c r="L43" s="146"/>
      <c r="M43" s="147"/>
      <c r="N43" s="146"/>
      <c r="O43" s="144"/>
      <c r="P43" s="144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</row>
    <row r="44" ht="13.5" customHeight="1">
      <c r="A44" s="142"/>
      <c r="B44" s="142"/>
      <c r="C44" s="142"/>
      <c r="D44" s="142"/>
      <c r="E44" s="142"/>
      <c r="F44" s="142"/>
      <c r="G44" s="143"/>
      <c r="H44" s="143"/>
      <c r="I44" s="144"/>
      <c r="J44" s="144"/>
      <c r="K44" s="145"/>
      <c r="L44" s="146"/>
      <c r="M44" s="147"/>
      <c r="N44" s="146"/>
      <c r="O44" s="144"/>
      <c r="P44" s="144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</row>
    <row r="45" ht="13.5" customHeight="1">
      <c r="A45" s="142"/>
      <c r="B45" s="142"/>
      <c r="C45" s="142"/>
      <c r="D45" s="142"/>
      <c r="E45" s="142"/>
      <c r="F45" s="142"/>
      <c r="G45" s="143"/>
      <c r="H45" s="143"/>
      <c r="I45" s="144"/>
      <c r="J45" s="144"/>
      <c r="K45" s="145"/>
      <c r="L45" s="146"/>
      <c r="M45" s="147"/>
      <c r="N45" s="146"/>
      <c r="O45" s="144"/>
      <c r="P45" s="144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</row>
    <row r="46" ht="13.5" customHeight="1">
      <c r="A46" s="142"/>
      <c r="B46" s="142"/>
      <c r="C46" s="142"/>
      <c r="D46" s="142"/>
      <c r="E46" s="142"/>
      <c r="F46" s="142"/>
      <c r="G46" s="143"/>
      <c r="H46" s="143"/>
      <c r="I46" s="144"/>
      <c r="J46" s="144"/>
      <c r="K46" s="145"/>
      <c r="L46" s="146"/>
      <c r="M46" s="147"/>
      <c r="N46" s="146"/>
      <c r="O46" s="144"/>
      <c r="P46" s="144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</row>
    <row r="47" ht="13.5" customHeight="1">
      <c r="A47" s="142"/>
      <c r="B47" s="142"/>
      <c r="C47" s="142"/>
      <c r="D47" s="142"/>
      <c r="E47" s="142"/>
      <c r="F47" s="142"/>
      <c r="G47" s="143"/>
      <c r="H47" s="143"/>
      <c r="I47" s="144"/>
      <c r="J47" s="144"/>
      <c r="K47" s="145"/>
      <c r="L47" s="146"/>
      <c r="M47" s="147"/>
      <c r="N47" s="146"/>
      <c r="O47" s="144"/>
      <c r="P47" s="144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</row>
    <row r="48" ht="13.5" customHeight="1">
      <c r="A48" s="142"/>
      <c r="B48" s="142"/>
      <c r="C48" s="142"/>
      <c r="D48" s="142"/>
      <c r="E48" s="142"/>
      <c r="F48" s="142"/>
      <c r="G48" s="143"/>
      <c r="H48" s="143"/>
      <c r="I48" s="144"/>
      <c r="J48" s="144"/>
      <c r="K48" s="145"/>
      <c r="L48" s="146"/>
      <c r="M48" s="147"/>
      <c r="N48" s="146"/>
      <c r="O48" s="144"/>
      <c r="P48" s="144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</row>
    <row r="49" ht="13.5" customHeight="1">
      <c r="A49" s="142"/>
      <c r="B49" s="142"/>
      <c r="C49" s="142"/>
      <c r="D49" s="142"/>
      <c r="E49" s="142"/>
      <c r="F49" s="142"/>
      <c r="G49" s="143"/>
      <c r="H49" s="143"/>
      <c r="I49" s="144"/>
      <c r="J49" s="144"/>
      <c r="K49" s="145"/>
      <c r="L49" s="146"/>
      <c r="M49" s="147"/>
      <c r="N49" s="146"/>
      <c r="O49" s="144"/>
      <c r="P49" s="144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ht="13.5" customHeight="1">
      <c r="A50" s="142"/>
      <c r="B50" s="142"/>
      <c r="C50" s="142"/>
      <c r="D50" s="142"/>
      <c r="E50" s="142"/>
      <c r="F50" s="142"/>
      <c r="G50" s="143"/>
      <c r="H50" s="143"/>
      <c r="I50" s="144"/>
      <c r="J50" s="144"/>
      <c r="K50" s="145"/>
      <c r="L50" s="146"/>
      <c r="M50" s="147"/>
      <c r="N50" s="146"/>
      <c r="O50" s="144"/>
      <c r="P50" s="144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</row>
    <row r="51" ht="13.5" customHeight="1">
      <c r="A51" s="142"/>
      <c r="B51" s="142"/>
      <c r="C51" s="142"/>
      <c r="D51" s="142"/>
      <c r="E51" s="142"/>
      <c r="F51" s="142"/>
      <c r="G51" s="143"/>
      <c r="H51" s="143"/>
      <c r="I51" s="144"/>
      <c r="J51" s="144"/>
      <c r="K51" s="145"/>
      <c r="L51" s="146"/>
      <c r="M51" s="147"/>
      <c r="N51" s="146"/>
      <c r="O51" s="144"/>
      <c r="P51" s="144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</row>
    <row r="52" ht="13.5" customHeight="1">
      <c r="A52" s="142"/>
      <c r="B52" s="142"/>
      <c r="C52" s="142"/>
      <c r="D52" s="142"/>
      <c r="E52" s="142"/>
      <c r="F52" s="142"/>
      <c r="G52" s="143"/>
      <c r="H52" s="143"/>
      <c r="I52" s="144"/>
      <c r="J52" s="144"/>
      <c r="K52" s="145"/>
      <c r="L52" s="146"/>
      <c r="M52" s="147"/>
      <c r="N52" s="146"/>
      <c r="O52" s="144"/>
      <c r="P52" s="144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ht="13.5" customHeight="1">
      <c r="A53" s="142"/>
      <c r="B53" s="142"/>
      <c r="C53" s="142"/>
      <c r="D53" s="142"/>
      <c r="E53" s="142"/>
      <c r="F53" s="142"/>
      <c r="G53" s="143"/>
      <c r="H53" s="143"/>
      <c r="I53" s="144"/>
      <c r="J53" s="144"/>
      <c r="K53" s="145"/>
      <c r="L53" s="146"/>
      <c r="M53" s="147"/>
      <c r="N53" s="146"/>
      <c r="O53" s="144"/>
      <c r="P53" s="144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</row>
    <row r="54" ht="13.5" customHeight="1">
      <c r="A54" s="142"/>
      <c r="B54" s="142"/>
      <c r="C54" s="142"/>
      <c r="D54" s="142"/>
      <c r="E54" s="142"/>
      <c r="F54" s="142"/>
      <c r="G54" s="143"/>
      <c r="H54" s="143"/>
      <c r="I54" s="144"/>
      <c r="J54" s="144"/>
      <c r="K54" s="145"/>
      <c r="L54" s="146"/>
      <c r="M54" s="147"/>
      <c r="N54" s="146"/>
      <c r="O54" s="144"/>
      <c r="P54" s="144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</row>
    <row r="55" ht="13.5" customHeight="1">
      <c r="A55" s="142"/>
      <c r="B55" s="142"/>
      <c r="C55" s="142"/>
      <c r="D55" s="142"/>
      <c r="E55" s="142"/>
      <c r="F55" s="142"/>
      <c r="G55" s="143"/>
      <c r="H55" s="143"/>
      <c r="I55" s="144"/>
      <c r="J55" s="144"/>
      <c r="K55" s="145"/>
      <c r="L55" s="146"/>
      <c r="M55" s="147"/>
      <c r="N55" s="146"/>
      <c r="O55" s="144"/>
      <c r="P55" s="144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</row>
    <row r="56" ht="13.5" customHeight="1">
      <c r="A56" s="142"/>
      <c r="B56" s="142"/>
      <c r="C56" s="142"/>
      <c r="D56" s="142"/>
      <c r="E56" s="142"/>
      <c r="F56" s="142"/>
      <c r="G56" s="143"/>
      <c r="H56" s="143"/>
      <c r="I56" s="144"/>
      <c r="J56" s="144"/>
      <c r="K56" s="145"/>
      <c r="L56" s="146"/>
      <c r="M56" s="147"/>
      <c r="N56" s="146"/>
      <c r="O56" s="144"/>
      <c r="P56" s="144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</row>
    <row r="57" ht="13.5" customHeight="1">
      <c r="A57" s="142"/>
      <c r="B57" s="142"/>
      <c r="C57" s="142"/>
      <c r="D57" s="142"/>
      <c r="E57" s="142"/>
      <c r="F57" s="142"/>
      <c r="G57" s="143"/>
      <c r="H57" s="143"/>
      <c r="I57" s="144"/>
      <c r="J57" s="144"/>
      <c r="K57" s="145"/>
      <c r="L57" s="146"/>
      <c r="M57" s="147"/>
      <c r="N57" s="146"/>
      <c r="O57" s="144"/>
      <c r="P57" s="144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</row>
    <row r="58" ht="13.5" customHeight="1">
      <c r="A58" s="142"/>
      <c r="B58" s="142"/>
      <c r="C58" s="142"/>
      <c r="D58" s="142"/>
      <c r="E58" s="142"/>
      <c r="F58" s="142"/>
      <c r="G58" s="143"/>
      <c r="H58" s="143"/>
      <c r="I58" s="144"/>
      <c r="J58" s="144"/>
      <c r="K58" s="145"/>
      <c r="L58" s="146"/>
      <c r="M58" s="147"/>
      <c r="N58" s="146"/>
      <c r="O58" s="144"/>
      <c r="P58" s="144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</row>
    <row r="59" ht="13.5" customHeight="1">
      <c r="A59" s="142"/>
      <c r="B59" s="142"/>
      <c r="C59" s="142"/>
      <c r="D59" s="142"/>
      <c r="E59" s="142"/>
      <c r="F59" s="142"/>
      <c r="G59" s="143"/>
      <c r="H59" s="143"/>
      <c r="I59" s="144"/>
      <c r="J59" s="144"/>
      <c r="K59" s="145"/>
      <c r="L59" s="146"/>
      <c r="M59" s="147"/>
      <c r="N59" s="146"/>
      <c r="O59" s="144"/>
      <c r="P59" s="144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ht="13.5" customHeight="1">
      <c r="A60" s="142"/>
      <c r="B60" s="142"/>
      <c r="C60" s="142"/>
      <c r="D60" s="142"/>
      <c r="E60" s="142"/>
      <c r="F60" s="142"/>
      <c r="G60" s="143"/>
      <c r="H60" s="143"/>
      <c r="I60" s="144"/>
      <c r="J60" s="144"/>
      <c r="K60" s="145"/>
      <c r="L60" s="146"/>
      <c r="M60" s="147"/>
      <c r="N60" s="146"/>
      <c r="O60" s="144"/>
      <c r="P60" s="144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</row>
    <row r="61" ht="13.5" customHeight="1">
      <c r="A61" s="142"/>
      <c r="B61" s="142"/>
      <c r="C61" s="142"/>
      <c r="D61" s="142"/>
      <c r="E61" s="142"/>
      <c r="F61" s="142"/>
      <c r="G61" s="143"/>
      <c r="H61" s="143"/>
      <c r="I61" s="144"/>
      <c r="J61" s="144"/>
      <c r="K61" s="145"/>
      <c r="L61" s="146"/>
      <c r="M61" s="147"/>
      <c r="N61" s="146"/>
      <c r="O61" s="144"/>
      <c r="P61" s="144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</row>
    <row r="62" ht="13.5" customHeight="1">
      <c r="A62" s="142"/>
      <c r="B62" s="142"/>
      <c r="C62" s="142"/>
      <c r="D62" s="142"/>
      <c r="E62" s="142"/>
      <c r="F62" s="142"/>
      <c r="G62" s="143"/>
      <c r="H62" s="143"/>
      <c r="I62" s="144"/>
      <c r="J62" s="144"/>
      <c r="K62" s="145"/>
      <c r="L62" s="146"/>
      <c r="M62" s="147"/>
      <c r="N62" s="146"/>
      <c r="O62" s="144"/>
      <c r="P62" s="144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</row>
    <row r="63" ht="13.5" customHeight="1">
      <c r="A63" s="142"/>
      <c r="B63" s="142"/>
      <c r="C63" s="142"/>
      <c r="D63" s="142"/>
      <c r="E63" s="142"/>
      <c r="F63" s="142"/>
      <c r="G63" s="143"/>
      <c r="H63" s="143"/>
      <c r="I63" s="144"/>
      <c r="J63" s="144"/>
      <c r="K63" s="145"/>
      <c r="L63" s="146"/>
      <c r="M63" s="147"/>
      <c r="N63" s="146"/>
      <c r="O63" s="144"/>
      <c r="P63" s="144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</row>
    <row r="64" ht="13.5" customHeight="1">
      <c r="A64" s="142"/>
      <c r="B64" s="142"/>
      <c r="C64" s="142"/>
      <c r="D64" s="142"/>
      <c r="E64" s="142"/>
      <c r="F64" s="142"/>
      <c r="G64" s="143"/>
      <c r="H64" s="143"/>
      <c r="I64" s="144"/>
      <c r="J64" s="144"/>
      <c r="K64" s="145"/>
      <c r="L64" s="146"/>
      <c r="M64" s="147"/>
      <c r="N64" s="146"/>
      <c r="O64" s="144"/>
      <c r="P64" s="144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</row>
    <row r="65" ht="13.5" customHeight="1">
      <c r="A65" s="142"/>
      <c r="B65" s="142"/>
      <c r="C65" s="142"/>
      <c r="D65" s="142"/>
      <c r="E65" s="142"/>
      <c r="F65" s="142"/>
      <c r="G65" s="143"/>
      <c r="H65" s="143"/>
      <c r="I65" s="144"/>
      <c r="J65" s="144"/>
      <c r="K65" s="145"/>
      <c r="L65" s="146"/>
      <c r="M65" s="147"/>
      <c r="N65" s="146"/>
      <c r="O65" s="144"/>
      <c r="P65" s="144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</row>
    <row r="66" ht="13.5" customHeight="1">
      <c r="A66" s="142"/>
      <c r="B66" s="142"/>
      <c r="C66" s="142"/>
      <c r="D66" s="142"/>
      <c r="E66" s="142"/>
      <c r="F66" s="142"/>
      <c r="G66" s="143"/>
      <c r="H66" s="143"/>
      <c r="I66" s="144"/>
      <c r="J66" s="144"/>
      <c r="K66" s="145"/>
      <c r="L66" s="146"/>
      <c r="M66" s="147"/>
      <c r="N66" s="146"/>
      <c r="O66" s="144"/>
      <c r="P66" s="144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</row>
    <row r="67" ht="13.5" customHeight="1">
      <c r="A67" s="142"/>
      <c r="B67" s="142"/>
      <c r="C67" s="142"/>
      <c r="D67" s="142"/>
      <c r="E67" s="142"/>
      <c r="F67" s="142"/>
      <c r="G67" s="143"/>
      <c r="H67" s="143"/>
      <c r="I67" s="144"/>
      <c r="J67" s="144"/>
      <c r="K67" s="145"/>
      <c r="L67" s="146"/>
      <c r="M67" s="147"/>
      <c r="N67" s="146"/>
      <c r="O67" s="144"/>
      <c r="P67" s="144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</row>
    <row r="68" ht="13.5" customHeight="1">
      <c r="A68" s="142"/>
      <c r="B68" s="142"/>
      <c r="C68" s="142"/>
      <c r="D68" s="142"/>
      <c r="E68" s="142"/>
      <c r="F68" s="142"/>
      <c r="G68" s="143"/>
      <c r="H68" s="143"/>
      <c r="I68" s="144"/>
      <c r="J68" s="144"/>
      <c r="K68" s="145"/>
      <c r="L68" s="146"/>
      <c r="M68" s="147"/>
      <c r="N68" s="146"/>
      <c r="O68" s="144"/>
      <c r="P68" s="144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</row>
    <row r="69" ht="13.5" customHeight="1">
      <c r="A69" s="142"/>
      <c r="B69" s="142"/>
      <c r="C69" s="142"/>
      <c r="D69" s="142"/>
      <c r="E69" s="142"/>
      <c r="F69" s="142"/>
      <c r="G69" s="143"/>
      <c r="H69" s="143"/>
      <c r="I69" s="144"/>
      <c r="J69" s="144"/>
      <c r="K69" s="145"/>
      <c r="L69" s="146"/>
      <c r="M69" s="147"/>
      <c r="N69" s="146"/>
      <c r="O69" s="144"/>
      <c r="P69" s="144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</row>
    <row r="70" ht="13.5" customHeight="1">
      <c r="A70" s="142"/>
      <c r="B70" s="142"/>
      <c r="C70" s="142"/>
      <c r="D70" s="142"/>
      <c r="E70" s="142"/>
      <c r="F70" s="142"/>
      <c r="G70" s="143"/>
      <c r="H70" s="143"/>
      <c r="I70" s="144"/>
      <c r="J70" s="144"/>
      <c r="K70" s="145"/>
      <c r="L70" s="146"/>
      <c r="M70" s="147"/>
      <c r="N70" s="146"/>
      <c r="O70" s="144"/>
      <c r="P70" s="144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</row>
    <row r="71" ht="13.5" customHeight="1">
      <c r="A71" s="142"/>
      <c r="B71" s="142"/>
      <c r="C71" s="142"/>
      <c r="D71" s="142"/>
      <c r="E71" s="142"/>
      <c r="F71" s="142"/>
      <c r="G71" s="143"/>
      <c r="H71" s="143"/>
      <c r="I71" s="144"/>
      <c r="J71" s="144"/>
      <c r="K71" s="145"/>
      <c r="L71" s="146"/>
      <c r="M71" s="147"/>
      <c r="N71" s="146"/>
      <c r="O71" s="144"/>
      <c r="P71" s="144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</row>
    <row r="72" ht="13.5" customHeight="1">
      <c r="A72" s="142"/>
      <c r="B72" s="142"/>
      <c r="C72" s="142"/>
      <c r="D72" s="142"/>
      <c r="E72" s="142"/>
      <c r="F72" s="142"/>
      <c r="G72" s="143"/>
      <c r="H72" s="143"/>
      <c r="I72" s="144"/>
      <c r="J72" s="144"/>
      <c r="K72" s="145"/>
      <c r="L72" s="146"/>
      <c r="M72" s="147"/>
      <c r="N72" s="146"/>
      <c r="O72" s="144"/>
      <c r="P72" s="144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</row>
    <row r="73" ht="13.5" customHeight="1">
      <c r="A73" s="142"/>
      <c r="B73" s="142"/>
      <c r="C73" s="142"/>
      <c r="D73" s="142"/>
      <c r="E73" s="142"/>
      <c r="F73" s="142"/>
      <c r="G73" s="143"/>
      <c r="H73" s="143"/>
      <c r="I73" s="144"/>
      <c r="J73" s="144"/>
      <c r="K73" s="145"/>
      <c r="L73" s="146"/>
      <c r="M73" s="147"/>
      <c r="N73" s="146"/>
      <c r="O73" s="144"/>
      <c r="P73" s="144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</row>
    <row r="74" ht="13.5" customHeight="1">
      <c r="A74" s="142"/>
      <c r="B74" s="142"/>
      <c r="C74" s="142"/>
      <c r="D74" s="142"/>
      <c r="E74" s="142"/>
      <c r="F74" s="142"/>
      <c r="G74" s="143"/>
      <c r="H74" s="143"/>
      <c r="I74" s="144"/>
      <c r="J74" s="144"/>
      <c r="K74" s="145"/>
      <c r="L74" s="146"/>
      <c r="M74" s="147"/>
      <c r="N74" s="146"/>
      <c r="O74" s="144"/>
      <c r="P74" s="144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</row>
    <row r="75" ht="13.5" customHeight="1">
      <c r="A75" s="142"/>
      <c r="B75" s="142"/>
      <c r="C75" s="142"/>
      <c r="D75" s="142"/>
      <c r="E75" s="142"/>
      <c r="F75" s="142"/>
      <c r="G75" s="143"/>
      <c r="H75" s="143"/>
      <c r="I75" s="144"/>
      <c r="J75" s="144"/>
      <c r="K75" s="145"/>
      <c r="L75" s="146"/>
      <c r="M75" s="147"/>
      <c r="N75" s="146"/>
      <c r="O75" s="144"/>
      <c r="P75" s="144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</row>
    <row r="76" ht="13.5" customHeight="1">
      <c r="A76" s="142"/>
      <c r="B76" s="142"/>
      <c r="C76" s="142"/>
      <c r="D76" s="142"/>
      <c r="E76" s="142"/>
      <c r="F76" s="142"/>
      <c r="G76" s="143"/>
      <c r="H76" s="143"/>
      <c r="I76" s="144"/>
      <c r="J76" s="144"/>
      <c r="K76" s="145"/>
      <c r="L76" s="146"/>
      <c r="M76" s="147"/>
      <c r="N76" s="146"/>
      <c r="O76" s="144"/>
      <c r="P76" s="144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</row>
    <row r="77" ht="13.5" customHeight="1">
      <c r="A77" s="142"/>
      <c r="B77" s="142"/>
      <c r="C77" s="142"/>
      <c r="D77" s="142"/>
      <c r="E77" s="142"/>
      <c r="F77" s="142"/>
      <c r="G77" s="143"/>
      <c r="H77" s="143"/>
      <c r="I77" s="144"/>
      <c r="J77" s="144"/>
      <c r="K77" s="145"/>
      <c r="L77" s="146"/>
      <c r="M77" s="147"/>
      <c r="N77" s="146"/>
      <c r="O77" s="144"/>
      <c r="P77" s="144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</row>
    <row r="78" ht="13.5" customHeight="1">
      <c r="A78" s="142"/>
      <c r="B78" s="142"/>
      <c r="C78" s="142"/>
      <c r="D78" s="142"/>
      <c r="E78" s="142"/>
      <c r="F78" s="142"/>
      <c r="G78" s="143"/>
      <c r="H78" s="143"/>
      <c r="I78" s="144"/>
      <c r="J78" s="144"/>
      <c r="K78" s="145"/>
      <c r="L78" s="146"/>
      <c r="M78" s="147"/>
      <c r="N78" s="146"/>
      <c r="O78" s="144"/>
      <c r="P78" s="144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</row>
    <row r="79" ht="13.5" customHeight="1">
      <c r="A79" s="142"/>
      <c r="B79" s="142"/>
      <c r="C79" s="142"/>
      <c r="D79" s="142"/>
      <c r="E79" s="142"/>
      <c r="F79" s="142"/>
      <c r="G79" s="143"/>
      <c r="H79" s="143"/>
      <c r="I79" s="144"/>
      <c r="J79" s="144"/>
      <c r="K79" s="145"/>
      <c r="L79" s="146"/>
      <c r="M79" s="147"/>
      <c r="N79" s="146"/>
      <c r="O79" s="144"/>
      <c r="P79" s="144"/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</row>
    <row r="80" ht="13.5" customHeight="1">
      <c r="A80" s="142"/>
      <c r="B80" s="142"/>
      <c r="C80" s="142"/>
      <c r="D80" s="142"/>
      <c r="E80" s="142"/>
      <c r="F80" s="142"/>
      <c r="G80" s="143"/>
      <c r="H80" s="143"/>
      <c r="I80" s="144"/>
      <c r="J80" s="144"/>
      <c r="K80" s="145"/>
      <c r="L80" s="146"/>
      <c r="M80" s="147"/>
      <c r="N80" s="146"/>
      <c r="O80" s="144"/>
      <c r="P80" s="144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</row>
    <row r="81" ht="13.5" customHeight="1">
      <c r="A81" s="142"/>
      <c r="B81" s="142"/>
      <c r="C81" s="142"/>
      <c r="D81" s="142"/>
      <c r="E81" s="142"/>
      <c r="F81" s="142"/>
      <c r="G81" s="143"/>
      <c r="H81" s="143"/>
      <c r="I81" s="144"/>
      <c r="J81" s="144"/>
      <c r="K81" s="145"/>
      <c r="L81" s="146"/>
      <c r="M81" s="147"/>
      <c r="N81" s="146"/>
      <c r="O81" s="144"/>
      <c r="P81" s="144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</row>
    <row r="82" ht="13.5" customHeight="1">
      <c r="A82" s="142"/>
      <c r="B82" s="142"/>
      <c r="C82" s="142"/>
      <c r="D82" s="142"/>
      <c r="E82" s="142"/>
      <c r="F82" s="142"/>
      <c r="G82" s="143"/>
      <c r="H82" s="143"/>
      <c r="I82" s="144"/>
      <c r="J82" s="144"/>
      <c r="K82" s="145"/>
      <c r="L82" s="146"/>
      <c r="M82" s="147"/>
      <c r="N82" s="146"/>
      <c r="O82" s="144"/>
      <c r="P82" s="144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</row>
    <row r="83" ht="13.5" customHeight="1">
      <c r="A83" s="142"/>
      <c r="B83" s="142"/>
      <c r="C83" s="142"/>
      <c r="D83" s="142"/>
      <c r="E83" s="142"/>
      <c r="F83" s="142"/>
      <c r="G83" s="143"/>
      <c r="H83" s="143"/>
      <c r="I83" s="144"/>
      <c r="J83" s="144"/>
      <c r="K83" s="145"/>
      <c r="L83" s="146"/>
      <c r="M83" s="147"/>
      <c r="N83" s="146"/>
      <c r="O83" s="144"/>
      <c r="P83" s="144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</row>
    <row r="84" ht="13.5" customHeight="1">
      <c r="A84" s="142"/>
      <c r="B84" s="142"/>
      <c r="C84" s="142"/>
      <c r="D84" s="142"/>
      <c r="E84" s="142"/>
      <c r="F84" s="142"/>
      <c r="G84" s="143"/>
      <c r="H84" s="143"/>
      <c r="I84" s="144"/>
      <c r="J84" s="144"/>
      <c r="K84" s="145"/>
      <c r="L84" s="146"/>
      <c r="M84" s="147"/>
      <c r="N84" s="146"/>
      <c r="O84" s="144"/>
      <c r="P84" s="144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</row>
    <row r="85" ht="13.5" customHeight="1">
      <c r="A85" s="142"/>
      <c r="B85" s="142"/>
      <c r="C85" s="142"/>
      <c r="D85" s="142"/>
      <c r="E85" s="142"/>
      <c r="F85" s="142"/>
      <c r="G85" s="143"/>
      <c r="H85" s="143"/>
      <c r="I85" s="144"/>
      <c r="J85" s="144"/>
      <c r="K85" s="145"/>
      <c r="L85" s="146"/>
      <c r="M85" s="147"/>
      <c r="N85" s="146"/>
      <c r="O85" s="144"/>
      <c r="P85" s="144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</row>
    <row r="86" ht="13.5" customHeight="1">
      <c r="A86" s="142"/>
      <c r="B86" s="142"/>
      <c r="C86" s="142"/>
      <c r="D86" s="142"/>
      <c r="E86" s="142"/>
      <c r="F86" s="142"/>
      <c r="G86" s="143"/>
      <c r="H86" s="143"/>
      <c r="I86" s="144"/>
      <c r="J86" s="144"/>
      <c r="K86" s="145"/>
      <c r="L86" s="146"/>
      <c r="M86" s="147"/>
      <c r="N86" s="146"/>
      <c r="O86" s="144"/>
      <c r="P86" s="144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</row>
    <row r="87" ht="13.5" customHeight="1">
      <c r="A87" s="142"/>
      <c r="B87" s="142"/>
      <c r="C87" s="142"/>
      <c r="D87" s="142"/>
      <c r="E87" s="142"/>
      <c r="F87" s="142"/>
      <c r="G87" s="143"/>
      <c r="H87" s="143"/>
      <c r="I87" s="144"/>
      <c r="J87" s="144"/>
      <c r="K87" s="145"/>
      <c r="L87" s="146"/>
      <c r="M87" s="147"/>
      <c r="N87" s="146"/>
      <c r="O87" s="144"/>
      <c r="P87" s="144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</row>
    <row r="88" ht="13.5" customHeight="1">
      <c r="A88" s="142"/>
      <c r="B88" s="142"/>
      <c r="C88" s="142"/>
      <c r="D88" s="142"/>
      <c r="E88" s="142"/>
      <c r="F88" s="142"/>
      <c r="G88" s="143"/>
      <c r="H88" s="143"/>
      <c r="I88" s="144"/>
      <c r="J88" s="144"/>
      <c r="K88" s="145"/>
      <c r="L88" s="146"/>
      <c r="M88" s="147"/>
      <c r="N88" s="146"/>
      <c r="O88" s="144"/>
      <c r="P88" s="144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</row>
    <row r="89" ht="13.5" customHeight="1">
      <c r="A89" s="142"/>
      <c r="B89" s="142"/>
      <c r="C89" s="142"/>
      <c r="D89" s="142"/>
      <c r="E89" s="142"/>
      <c r="F89" s="142"/>
      <c r="G89" s="143"/>
      <c r="H89" s="143"/>
      <c r="I89" s="144"/>
      <c r="J89" s="144"/>
      <c r="K89" s="145"/>
      <c r="L89" s="146"/>
      <c r="M89" s="147"/>
      <c r="N89" s="146"/>
      <c r="O89" s="144"/>
      <c r="P89" s="144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</row>
    <row r="90" ht="13.5" customHeight="1">
      <c r="A90" s="142"/>
      <c r="B90" s="142"/>
      <c r="C90" s="142"/>
      <c r="D90" s="142"/>
      <c r="E90" s="142"/>
      <c r="F90" s="142"/>
      <c r="G90" s="143"/>
      <c r="H90" s="143"/>
      <c r="I90" s="144"/>
      <c r="J90" s="144"/>
      <c r="K90" s="145"/>
      <c r="L90" s="146"/>
      <c r="M90" s="147"/>
      <c r="N90" s="146"/>
      <c r="O90" s="144"/>
      <c r="P90" s="144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</row>
    <row r="91" ht="13.5" customHeight="1">
      <c r="A91" s="142"/>
      <c r="B91" s="142"/>
      <c r="C91" s="142"/>
      <c r="D91" s="142"/>
      <c r="E91" s="142"/>
      <c r="F91" s="142"/>
      <c r="G91" s="143"/>
      <c r="H91" s="143"/>
      <c r="I91" s="144"/>
      <c r="J91" s="144"/>
      <c r="K91" s="145"/>
      <c r="L91" s="146"/>
      <c r="M91" s="147"/>
      <c r="N91" s="146"/>
      <c r="O91" s="144"/>
      <c r="P91" s="144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</row>
    <row r="92" ht="13.5" customHeight="1">
      <c r="A92" s="142"/>
      <c r="B92" s="142"/>
      <c r="C92" s="142"/>
      <c r="D92" s="142"/>
      <c r="E92" s="142"/>
      <c r="F92" s="142"/>
      <c r="G92" s="143"/>
      <c r="H92" s="143"/>
      <c r="I92" s="144"/>
      <c r="J92" s="144"/>
      <c r="K92" s="145"/>
      <c r="L92" s="146"/>
      <c r="M92" s="147"/>
      <c r="N92" s="146"/>
      <c r="O92" s="144"/>
      <c r="P92" s="144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</row>
    <row r="93" ht="13.5" customHeight="1">
      <c r="A93" s="142"/>
      <c r="B93" s="142"/>
      <c r="C93" s="142"/>
      <c r="D93" s="142"/>
      <c r="E93" s="142"/>
      <c r="F93" s="142"/>
      <c r="G93" s="143"/>
      <c r="H93" s="143"/>
      <c r="I93" s="144"/>
      <c r="J93" s="144"/>
      <c r="K93" s="145"/>
      <c r="L93" s="146"/>
      <c r="M93" s="147"/>
      <c r="N93" s="146"/>
      <c r="O93" s="144"/>
      <c r="P93" s="144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</row>
    <row r="94" ht="13.5" customHeight="1">
      <c r="A94" s="142"/>
      <c r="B94" s="142"/>
      <c r="C94" s="142"/>
      <c r="D94" s="142"/>
      <c r="E94" s="142"/>
      <c r="F94" s="142"/>
      <c r="G94" s="143"/>
      <c r="H94" s="143"/>
      <c r="I94" s="144"/>
      <c r="J94" s="144"/>
      <c r="K94" s="145"/>
      <c r="L94" s="146"/>
      <c r="M94" s="147"/>
      <c r="N94" s="146"/>
      <c r="O94" s="144"/>
      <c r="P94" s="144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</row>
    <row r="95" ht="13.5" customHeight="1">
      <c r="A95" s="142"/>
      <c r="B95" s="142"/>
      <c r="C95" s="142"/>
      <c r="D95" s="142"/>
      <c r="E95" s="142"/>
      <c r="F95" s="142"/>
      <c r="G95" s="143"/>
      <c r="H95" s="143"/>
      <c r="I95" s="144"/>
      <c r="J95" s="144"/>
      <c r="K95" s="145"/>
      <c r="L95" s="146"/>
      <c r="M95" s="147"/>
      <c r="N95" s="146"/>
      <c r="O95" s="144"/>
      <c r="P95" s="144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</row>
    <row r="96" ht="13.5" customHeight="1">
      <c r="A96" s="142"/>
      <c r="B96" s="142"/>
      <c r="C96" s="142"/>
      <c r="D96" s="142"/>
      <c r="E96" s="142"/>
      <c r="F96" s="142"/>
      <c r="G96" s="143"/>
      <c r="H96" s="143"/>
      <c r="I96" s="144"/>
      <c r="J96" s="144"/>
      <c r="K96" s="145"/>
      <c r="L96" s="146"/>
      <c r="M96" s="147"/>
      <c r="N96" s="146"/>
      <c r="O96" s="144"/>
      <c r="P96" s="144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</row>
    <row r="97" ht="13.5" customHeight="1">
      <c r="A97" s="142"/>
      <c r="B97" s="142"/>
      <c r="C97" s="142"/>
      <c r="D97" s="142"/>
      <c r="E97" s="142"/>
      <c r="F97" s="142"/>
      <c r="G97" s="143"/>
      <c r="H97" s="143"/>
      <c r="I97" s="144"/>
      <c r="J97" s="144"/>
      <c r="K97" s="145"/>
      <c r="L97" s="146"/>
      <c r="M97" s="147"/>
      <c r="N97" s="146"/>
      <c r="O97" s="144"/>
      <c r="P97" s="144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</row>
    <row r="98" ht="13.5" customHeight="1">
      <c r="A98" s="142"/>
      <c r="B98" s="142"/>
      <c r="C98" s="142"/>
      <c r="D98" s="142"/>
      <c r="E98" s="142"/>
      <c r="F98" s="142"/>
      <c r="G98" s="143"/>
      <c r="H98" s="143"/>
      <c r="I98" s="144"/>
      <c r="J98" s="144"/>
      <c r="K98" s="145"/>
      <c r="L98" s="146"/>
      <c r="M98" s="147"/>
      <c r="N98" s="146"/>
      <c r="O98" s="144"/>
      <c r="P98" s="144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</row>
    <row r="99" ht="13.5" customHeight="1">
      <c r="A99" s="142"/>
      <c r="B99" s="142"/>
      <c r="C99" s="142"/>
      <c r="D99" s="142"/>
      <c r="E99" s="142"/>
      <c r="F99" s="142"/>
      <c r="G99" s="143"/>
      <c r="H99" s="143"/>
      <c r="I99" s="144"/>
      <c r="J99" s="144"/>
      <c r="K99" s="145"/>
      <c r="L99" s="146"/>
      <c r="M99" s="147"/>
      <c r="N99" s="146"/>
      <c r="O99" s="144"/>
      <c r="P99" s="144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</row>
    <row r="100" ht="13.5" customHeight="1">
      <c r="A100" s="142"/>
      <c r="B100" s="142"/>
      <c r="C100" s="142"/>
      <c r="D100" s="142"/>
      <c r="E100" s="142"/>
      <c r="F100" s="142"/>
      <c r="G100" s="143"/>
      <c r="H100" s="143"/>
      <c r="I100" s="144"/>
      <c r="J100" s="144"/>
      <c r="K100" s="145"/>
      <c r="L100" s="146"/>
      <c r="M100" s="147"/>
      <c r="N100" s="146"/>
      <c r="O100" s="144"/>
      <c r="P100" s="144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</row>
    <row r="101" ht="13.5" customHeight="1">
      <c r="A101" s="142"/>
      <c r="B101" s="142"/>
      <c r="C101" s="142"/>
      <c r="D101" s="142"/>
      <c r="E101" s="142"/>
      <c r="F101" s="142"/>
      <c r="G101" s="143"/>
      <c r="H101" s="143"/>
      <c r="I101" s="144"/>
      <c r="J101" s="144"/>
      <c r="K101" s="145"/>
      <c r="L101" s="146"/>
      <c r="M101" s="147"/>
      <c r="N101" s="146"/>
      <c r="O101" s="144"/>
      <c r="P101" s="144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</row>
    <row r="102" ht="13.5" customHeight="1">
      <c r="A102" s="142"/>
      <c r="B102" s="142"/>
      <c r="C102" s="142"/>
      <c r="D102" s="142"/>
      <c r="E102" s="142"/>
      <c r="F102" s="142"/>
      <c r="G102" s="143"/>
      <c r="H102" s="143"/>
      <c r="I102" s="144"/>
      <c r="J102" s="144"/>
      <c r="K102" s="145"/>
      <c r="L102" s="146"/>
      <c r="M102" s="147"/>
      <c r="N102" s="146"/>
      <c r="O102" s="144"/>
      <c r="P102" s="144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</row>
    <row r="103" ht="13.5" customHeight="1">
      <c r="A103" s="142"/>
      <c r="B103" s="142"/>
      <c r="C103" s="142"/>
      <c r="D103" s="142"/>
      <c r="E103" s="142"/>
      <c r="F103" s="142"/>
      <c r="G103" s="143"/>
      <c r="H103" s="143"/>
      <c r="I103" s="144"/>
      <c r="J103" s="144"/>
      <c r="K103" s="145"/>
      <c r="L103" s="146"/>
      <c r="M103" s="147"/>
      <c r="N103" s="146"/>
      <c r="O103" s="144"/>
      <c r="P103" s="144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</row>
    <row r="104" ht="13.5" customHeight="1">
      <c r="A104" s="142"/>
      <c r="B104" s="142"/>
      <c r="C104" s="142"/>
      <c r="D104" s="142"/>
      <c r="E104" s="142"/>
      <c r="F104" s="142"/>
      <c r="G104" s="143"/>
      <c r="H104" s="143"/>
      <c r="I104" s="144"/>
      <c r="J104" s="144"/>
      <c r="K104" s="145"/>
      <c r="L104" s="146"/>
      <c r="M104" s="147"/>
      <c r="N104" s="146"/>
      <c r="O104" s="144"/>
      <c r="P104" s="144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</row>
    <row r="105" ht="13.5" customHeight="1">
      <c r="A105" s="142"/>
      <c r="B105" s="142"/>
      <c r="C105" s="142"/>
      <c r="D105" s="142"/>
      <c r="E105" s="142"/>
      <c r="F105" s="142"/>
      <c r="G105" s="143"/>
      <c r="H105" s="143"/>
      <c r="I105" s="144"/>
      <c r="J105" s="144"/>
      <c r="K105" s="145"/>
      <c r="L105" s="146"/>
      <c r="M105" s="147"/>
      <c r="N105" s="146"/>
      <c r="O105" s="144"/>
      <c r="P105" s="144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</row>
    <row r="106" ht="13.5" customHeight="1">
      <c r="A106" s="142"/>
      <c r="B106" s="142"/>
      <c r="C106" s="142"/>
      <c r="D106" s="142"/>
      <c r="E106" s="142"/>
      <c r="F106" s="142"/>
      <c r="G106" s="143"/>
      <c r="H106" s="143"/>
      <c r="I106" s="144"/>
      <c r="J106" s="144"/>
      <c r="K106" s="145"/>
      <c r="L106" s="146"/>
      <c r="M106" s="147"/>
      <c r="N106" s="146"/>
      <c r="O106" s="144"/>
      <c r="P106" s="144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</row>
    <row r="107" ht="13.5" customHeight="1">
      <c r="A107" s="142"/>
      <c r="B107" s="142"/>
      <c r="C107" s="142"/>
      <c r="D107" s="142"/>
      <c r="E107" s="142"/>
      <c r="F107" s="142"/>
      <c r="G107" s="143"/>
      <c r="H107" s="143"/>
      <c r="I107" s="144"/>
      <c r="J107" s="144"/>
      <c r="K107" s="145"/>
      <c r="L107" s="146"/>
      <c r="M107" s="147"/>
      <c r="N107" s="146"/>
      <c r="O107" s="144"/>
      <c r="P107" s="144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</row>
    <row r="108" ht="13.5" customHeight="1">
      <c r="A108" s="142"/>
      <c r="B108" s="142"/>
      <c r="C108" s="142"/>
      <c r="D108" s="142"/>
      <c r="E108" s="142"/>
      <c r="F108" s="142"/>
      <c r="G108" s="143"/>
      <c r="H108" s="143"/>
      <c r="I108" s="144"/>
      <c r="J108" s="144"/>
      <c r="K108" s="145"/>
      <c r="L108" s="146"/>
      <c r="M108" s="147"/>
      <c r="N108" s="146"/>
      <c r="O108" s="144"/>
      <c r="P108" s="144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</row>
    <row r="109" ht="13.5" customHeight="1">
      <c r="A109" s="142"/>
      <c r="B109" s="142"/>
      <c r="C109" s="142"/>
      <c r="D109" s="142"/>
      <c r="E109" s="142"/>
      <c r="F109" s="142"/>
      <c r="G109" s="143"/>
      <c r="H109" s="143"/>
      <c r="I109" s="144"/>
      <c r="J109" s="144"/>
      <c r="K109" s="145"/>
      <c r="L109" s="146"/>
      <c r="M109" s="147"/>
      <c r="N109" s="146"/>
      <c r="O109" s="144"/>
      <c r="P109" s="144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</row>
    <row r="110" ht="13.5" customHeight="1">
      <c r="A110" s="142"/>
      <c r="B110" s="142"/>
      <c r="C110" s="142"/>
      <c r="D110" s="142"/>
      <c r="E110" s="142"/>
      <c r="F110" s="142"/>
      <c r="G110" s="143"/>
      <c r="H110" s="143"/>
      <c r="I110" s="144"/>
      <c r="J110" s="144"/>
      <c r="K110" s="145"/>
      <c r="L110" s="146"/>
      <c r="M110" s="147"/>
      <c r="N110" s="146"/>
      <c r="O110" s="144"/>
      <c r="P110" s="144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</row>
    <row r="111" ht="13.5" customHeight="1">
      <c r="A111" s="142"/>
      <c r="B111" s="142"/>
      <c r="C111" s="142"/>
      <c r="D111" s="142"/>
      <c r="E111" s="142"/>
      <c r="F111" s="142"/>
      <c r="G111" s="143"/>
      <c r="H111" s="143"/>
      <c r="I111" s="144"/>
      <c r="J111" s="144"/>
      <c r="K111" s="145"/>
      <c r="L111" s="146"/>
      <c r="M111" s="147"/>
      <c r="N111" s="146"/>
      <c r="O111" s="144"/>
      <c r="P111" s="144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</row>
    <row r="112" ht="13.5" customHeight="1">
      <c r="A112" s="142"/>
      <c r="B112" s="142"/>
      <c r="C112" s="142"/>
      <c r="D112" s="142"/>
      <c r="E112" s="142"/>
      <c r="F112" s="142"/>
      <c r="G112" s="143"/>
      <c r="H112" s="143"/>
      <c r="I112" s="144"/>
      <c r="J112" s="144"/>
      <c r="K112" s="145"/>
      <c r="L112" s="146"/>
      <c r="M112" s="147"/>
      <c r="N112" s="146"/>
      <c r="O112" s="144"/>
      <c r="P112" s="144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</row>
    <row r="113" ht="13.5" customHeight="1">
      <c r="A113" s="142"/>
      <c r="B113" s="142"/>
      <c r="C113" s="142"/>
      <c r="D113" s="142"/>
      <c r="E113" s="142"/>
      <c r="F113" s="142"/>
      <c r="G113" s="143"/>
      <c r="H113" s="143"/>
      <c r="I113" s="144"/>
      <c r="J113" s="144"/>
      <c r="K113" s="145"/>
      <c r="L113" s="146"/>
      <c r="M113" s="147"/>
      <c r="N113" s="146"/>
      <c r="O113" s="144"/>
      <c r="P113" s="144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</row>
    <row r="114" ht="13.5" customHeight="1">
      <c r="A114" s="142"/>
      <c r="B114" s="142"/>
      <c r="C114" s="142"/>
      <c r="D114" s="142"/>
      <c r="E114" s="142"/>
      <c r="F114" s="142"/>
      <c r="G114" s="143"/>
      <c r="H114" s="143"/>
      <c r="I114" s="144"/>
      <c r="J114" s="144"/>
      <c r="K114" s="145"/>
      <c r="L114" s="146"/>
      <c r="M114" s="147"/>
      <c r="N114" s="146"/>
      <c r="O114" s="144"/>
      <c r="P114" s="144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ht="13.5" customHeight="1">
      <c r="A115" s="142"/>
      <c r="B115" s="142"/>
      <c r="C115" s="142"/>
      <c r="D115" s="142"/>
      <c r="E115" s="142"/>
      <c r="F115" s="142"/>
      <c r="G115" s="143"/>
      <c r="H115" s="143"/>
      <c r="I115" s="144"/>
      <c r="J115" s="144"/>
      <c r="K115" s="145"/>
      <c r="L115" s="146"/>
      <c r="M115" s="147"/>
      <c r="N115" s="146"/>
      <c r="O115" s="144"/>
      <c r="P115" s="144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</row>
    <row r="116" ht="13.5" customHeight="1">
      <c r="A116" s="142"/>
      <c r="B116" s="142"/>
      <c r="C116" s="142"/>
      <c r="D116" s="142"/>
      <c r="E116" s="142"/>
      <c r="F116" s="142"/>
      <c r="G116" s="143"/>
      <c r="H116" s="143"/>
      <c r="I116" s="144"/>
      <c r="J116" s="144"/>
      <c r="K116" s="145"/>
      <c r="L116" s="146"/>
      <c r="M116" s="147"/>
      <c r="N116" s="146"/>
      <c r="O116" s="144"/>
      <c r="P116" s="144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</row>
    <row r="117" ht="13.5" customHeight="1">
      <c r="A117" s="142"/>
      <c r="B117" s="142"/>
      <c r="C117" s="142"/>
      <c r="D117" s="142"/>
      <c r="E117" s="142"/>
      <c r="F117" s="142"/>
      <c r="G117" s="143"/>
      <c r="H117" s="143"/>
      <c r="I117" s="144"/>
      <c r="J117" s="144"/>
      <c r="K117" s="145"/>
      <c r="L117" s="146"/>
      <c r="M117" s="147"/>
      <c r="N117" s="146"/>
      <c r="O117" s="144"/>
      <c r="P117" s="144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</row>
    <row r="118" ht="13.5" customHeight="1">
      <c r="A118" s="142"/>
      <c r="B118" s="142"/>
      <c r="C118" s="142"/>
      <c r="D118" s="142"/>
      <c r="E118" s="142"/>
      <c r="F118" s="142"/>
      <c r="G118" s="143"/>
      <c r="H118" s="143"/>
      <c r="I118" s="144"/>
      <c r="J118" s="144"/>
      <c r="K118" s="145"/>
      <c r="L118" s="146"/>
      <c r="M118" s="147"/>
      <c r="N118" s="146"/>
      <c r="O118" s="144"/>
      <c r="P118" s="144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</row>
    <row r="119" ht="13.5" customHeight="1">
      <c r="A119" s="142"/>
      <c r="B119" s="142"/>
      <c r="C119" s="142"/>
      <c r="D119" s="142"/>
      <c r="E119" s="142"/>
      <c r="F119" s="142"/>
      <c r="G119" s="143"/>
      <c r="H119" s="143"/>
      <c r="I119" s="144"/>
      <c r="J119" s="144"/>
      <c r="K119" s="145"/>
      <c r="L119" s="146"/>
      <c r="M119" s="147"/>
      <c r="N119" s="146"/>
      <c r="O119" s="144"/>
      <c r="P119" s="144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</row>
    <row r="120" ht="13.5" customHeight="1">
      <c r="A120" s="142"/>
      <c r="B120" s="142"/>
      <c r="C120" s="142"/>
      <c r="D120" s="142"/>
      <c r="E120" s="142"/>
      <c r="F120" s="142"/>
      <c r="G120" s="143"/>
      <c r="H120" s="143"/>
      <c r="I120" s="144"/>
      <c r="J120" s="144"/>
      <c r="K120" s="145"/>
      <c r="L120" s="146"/>
      <c r="M120" s="147"/>
      <c r="N120" s="146"/>
      <c r="O120" s="144"/>
      <c r="P120" s="144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</row>
    <row r="121" ht="13.5" customHeight="1">
      <c r="A121" s="142"/>
      <c r="B121" s="142"/>
      <c r="C121" s="142"/>
      <c r="D121" s="142"/>
      <c r="E121" s="142"/>
      <c r="F121" s="142"/>
      <c r="G121" s="143"/>
      <c r="H121" s="143"/>
      <c r="I121" s="144"/>
      <c r="J121" s="144"/>
      <c r="K121" s="145"/>
      <c r="L121" s="146"/>
      <c r="M121" s="147"/>
      <c r="N121" s="146"/>
      <c r="O121" s="144"/>
      <c r="P121" s="144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</row>
    <row r="122" ht="13.5" customHeight="1">
      <c r="A122" s="142"/>
      <c r="B122" s="142"/>
      <c r="C122" s="142"/>
      <c r="D122" s="142"/>
      <c r="E122" s="142"/>
      <c r="F122" s="142"/>
      <c r="G122" s="143"/>
      <c r="H122" s="143"/>
      <c r="I122" s="144"/>
      <c r="J122" s="144"/>
      <c r="K122" s="145"/>
      <c r="L122" s="146"/>
      <c r="M122" s="147"/>
      <c r="N122" s="146"/>
      <c r="O122" s="144"/>
      <c r="P122" s="144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</row>
    <row r="123" ht="13.5" customHeight="1">
      <c r="A123" s="142"/>
      <c r="B123" s="142"/>
      <c r="C123" s="142"/>
      <c r="D123" s="142"/>
      <c r="E123" s="142"/>
      <c r="F123" s="142"/>
      <c r="G123" s="143"/>
      <c r="H123" s="143"/>
      <c r="I123" s="144"/>
      <c r="J123" s="144"/>
      <c r="K123" s="145"/>
      <c r="L123" s="146"/>
      <c r="M123" s="147"/>
      <c r="N123" s="146"/>
      <c r="O123" s="144"/>
      <c r="P123" s="144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</row>
    <row r="124" ht="13.5" customHeight="1">
      <c r="A124" s="142"/>
      <c r="B124" s="142"/>
      <c r="C124" s="142"/>
      <c r="D124" s="142"/>
      <c r="E124" s="142"/>
      <c r="F124" s="142"/>
      <c r="G124" s="143"/>
      <c r="H124" s="143"/>
      <c r="I124" s="144"/>
      <c r="J124" s="144"/>
      <c r="K124" s="145"/>
      <c r="L124" s="146"/>
      <c r="M124" s="147"/>
      <c r="N124" s="146"/>
      <c r="O124" s="144"/>
      <c r="P124" s="144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</row>
    <row r="125" ht="13.5" customHeight="1">
      <c r="A125" s="142"/>
      <c r="B125" s="142"/>
      <c r="C125" s="142"/>
      <c r="D125" s="142"/>
      <c r="E125" s="142"/>
      <c r="F125" s="142"/>
      <c r="G125" s="143"/>
      <c r="H125" s="143"/>
      <c r="I125" s="144"/>
      <c r="J125" s="144"/>
      <c r="K125" s="145"/>
      <c r="L125" s="146"/>
      <c r="M125" s="147"/>
      <c r="N125" s="146"/>
      <c r="O125" s="144"/>
      <c r="P125" s="144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</row>
    <row r="126" ht="13.5" customHeight="1">
      <c r="A126" s="142"/>
      <c r="B126" s="142"/>
      <c r="C126" s="142"/>
      <c r="D126" s="142"/>
      <c r="E126" s="142"/>
      <c r="F126" s="142"/>
      <c r="G126" s="143"/>
      <c r="H126" s="143"/>
      <c r="I126" s="144"/>
      <c r="J126" s="144"/>
      <c r="K126" s="145"/>
      <c r="L126" s="146"/>
      <c r="M126" s="147"/>
      <c r="N126" s="146"/>
      <c r="O126" s="144"/>
      <c r="P126" s="144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</row>
    <row r="127" ht="13.5" customHeight="1">
      <c r="A127" s="142"/>
      <c r="B127" s="142"/>
      <c r="C127" s="142"/>
      <c r="D127" s="142"/>
      <c r="E127" s="142"/>
      <c r="F127" s="142"/>
      <c r="G127" s="143"/>
      <c r="H127" s="143"/>
      <c r="I127" s="144"/>
      <c r="J127" s="144"/>
      <c r="K127" s="145"/>
      <c r="L127" s="146"/>
      <c r="M127" s="147"/>
      <c r="N127" s="146"/>
      <c r="O127" s="144"/>
      <c r="P127" s="144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</row>
    <row r="128" ht="13.5" customHeight="1">
      <c r="A128" s="142"/>
      <c r="B128" s="142"/>
      <c r="C128" s="142"/>
      <c r="D128" s="142"/>
      <c r="E128" s="142"/>
      <c r="F128" s="142"/>
      <c r="G128" s="143"/>
      <c r="H128" s="143"/>
      <c r="I128" s="144"/>
      <c r="J128" s="144"/>
      <c r="K128" s="145"/>
      <c r="L128" s="146"/>
      <c r="M128" s="147"/>
      <c r="N128" s="146"/>
      <c r="O128" s="144"/>
      <c r="P128" s="144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</row>
    <row r="129" ht="13.5" customHeight="1">
      <c r="A129" s="142"/>
      <c r="B129" s="142"/>
      <c r="C129" s="142"/>
      <c r="D129" s="142"/>
      <c r="E129" s="142"/>
      <c r="F129" s="142"/>
      <c r="G129" s="143"/>
      <c r="H129" s="143"/>
      <c r="I129" s="144"/>
      <c r="J129" s="144"/>
      <c r="K129" s="145"/>
      <c r="L129" s="146"/>
      <c r="M129" s="147"/>
      <c r="N129" s="146"/>
      <c r="O129" s="144"/>
      <c r="P129" s="144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</row>
    <row r="130" ht="13.5" customHeight="1">
      <c r="A130" s="142"/>
      <c r="B130" s="142"/>
      <c r="C130" s="142"/>
      <c r="D130" s="142"/>
      <c r="E130" s="142"/>
      <c r="F130" s="142"/>
      <c r="G130" s="143"/>
      <c r="H130" s="143"/>
      <c r="I130" s="144"/>
      <c r="J130" s="144"/>
      <c r="K130" s="145"/>
      <c r="L130" s="146"/>
      <c r="M130" s="147"/>
      <c r="N130" s="146"/>
      <c r="O130" s="144"/>
      <c r="P130" s="144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</row>
    <row r="131" ht="13.5" customHeight="1">
      <c r="A131" s="142"/>
      <c r="B131" s="142"/>
      <c r="C131" s="142"/>
      <c r="D131" s="142"/>
      <c r="E131" s="142"/>
      <c r="F131" s="142"/>
      <c r="G131" s="143"/>
      <c r="H131" s="143"/>
      <c r="I131" s="144"/>
      <c r="J131" s="144"/>
      <c r="K131" s="145"/>
      <c r="L131" s="146"/>
      <c r="M131" s="147"/>
      <c r="N131" s="146"/>
      <c r="O131" s="144"/>
      <c r="P131" s="144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</row>
    <row r="132" ht="13.5" customHeight="1">
      <c r="A132" s="142"/>
      <c r="B132" s="142"/>
      <c r="C132" s="142"/>
      <c r="D132" s="142"/>
      <c r="E132" s="142"/>
      <c r="F132" s="142"/>
      <c r="G132" s="143"/>
      <c r="H132" s="143"/>
      <c r="I132" s="144"/>
      <c r="J132" s="144"/>
      <c r="K132" s="145"/>
      <c r="L132" s="146"/>
      <c r="M132" s="147"/>
      <c r="N132" s="146"/>
      <c r="O132" s="144"/>
      <c r="P132" s="144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</row>
    <row r="133" ht="13.5" customHeight="1">
      <c r="A133" s="142"/>
      <c r="B133" s="142"/>
      <c r="C133" s="142"/>
      <c r="D133" s="142"/>
      <c r="E133" s="142"/>
      <c r="F133" s="142"/>
      <c r="G133" s="143"/>
      <c r="H133" s="143"/>
      <c r="I133" s="144"/>
      <c r="J133" s="144"/>
      <c r="K133" s="145"/>
      <c r="L133" s="146"/>
      <c r="M133" s="147"/>
      <c r="N133" s="146"/>
      <c r="O133" s="144"/>
      <c r="P133" s="144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</row>
    <row r="134" ht="13.5" customHeight="1">
      <c r="A134" s="142"/>
      <c r="B134" s="142"/>
      <c r="C134" s="142"/>
      <c r="D134" s="142"/>
      <c r="E134" s="142"/>
      <c r="F134" s="142"/>
      <c r="G134" s="143"/>
      <c r="H134" s="143"/>
      <c r="I134" s="144"/>
      <c r="J134" s="144"/>
      <c r="K134" s="145"/>
      <c r="L134" s="146"/>
      <c r="M134" s="147"/>
      <c r="N134" s="146"/>
      <c r="O134" s="144"/>
      <c r="P134" s="144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</row>
    <row r="135" ht="13.5" customHeight="1">
      <c r="A135" s="142"/>
      <c r="B135" s="142"/>
      <c r="C135" s="142"/>
      <c r="D135" s="142"/>
      <c r="E135" s="142"/>
      <c r="F135" s="142"/>
      <c r="G135" s="143"/>
      <c r="H135" s="143"/>
      <c r="I135" s="144"/>
      <c r="J135" s="144"/>
      <c r="K135" s="145"/>
      <c r="L135" s="146"/>
      <c r="M135" s="147"/>
      <c r="N135" s="146"/>
      <c r="O135" s="144"/>
      <c r="P135" s="144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</row>
    <row r="136" ht="13.5" customHeight="1">
      <c r="A136" s="142"/>
      <c r="B136" s="142"/>
      <c r="C136" s="142"/>
      <c r="D136" s="142"/>
      <c r="E136" s="142"/>
      <c r="F136" s="142"/>
      <c r="G136" s="143"/>
      <c r="H136" s="143"/>
      <c r="I136" s="144"/>
      <c r="J136" s="144"/>
      <c r="K136" s="145"/>
      <c r="L136" s="146"/>
      <c r="M136" s="147"/>
      <c r="N136" s="146"/>
      <c r="O136" s="144"/>
      <c r="P136" s="144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</row>
    <row r="137" ht="13.5" customHeight="1">
      <c r="A137" s="142"/>
      <c r="B137" s="142"/>
      <c r="C137" s="142"/>
      <c r="D137" s="142"/>
      <c r="E137" s="142"/>
      <c r="F137" s="142"/>
      <c r="G137" s="143"/>
      <c r="H137" s="143"/>
      <c r="I137" s="144"/>
      <c r="J137" s="144"/>
      <c r="K137" s="145"/>
      <c r="L137" s="146"/>
      <c r="M137" s="147"/>
      <c r="N137" s="146"/>
      <c r="O137" s="144"/>
      <c r="P137" s="144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</row>
    <row r="138" ht="13.5" customHeight="1">
      <c r="A138" s="142"/>
      <c r="B138" s="142"/>
      <c r="C138" s="142"/>
      <c r="D138" s="142"/>
      <c r="E138" s="142"/>
      <c r="F138" s="142"/>
      <c r="G138" s="143"/>
      <c r="H138" s="143"/>
      <c r="I138" s="144"/>
      <c r="J138" s="144"/>
      <c r="K138" s="145"/>
      <c r="L138" s="146"/>
      <c r="M138" s="147"/>
      <c r="N138" s="146"/>
      <c r="O138" s="144"/>
      <c r="P138" s="144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</row>
    <row r="139" ht="13.5" customHeight="1">
      <c r="A139" s="142"/>
      <c r="B139" s="142"/>
      <c r="C139" s="142"/>
      <c r="D139" s="142"/>
      <c r="E139" s="142"/>
      <c r="F139" s="142"/>
      <c r="G139" s="143"/>
      <c r="H139" s="143"/>
      <c r="I139" s="144"/>
      <c r="J139" s="144"/>
      <c r="K139" s="145"/>
      <c r="L139" s="146"/>
      <c r="M139" s="147"/>
      <c r="N139" s="146"/>
      <c r="O139" s="144"/>
      <c r="P139" s="144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</row>
    <row r="140" ht="13.5" customHeight="1">
      <c r="A140" s="142"/>
      <c r="B140" s="142"/>
      <c r="C140" s="142"/>
      <c r="D140" s="142"/>
      <c r="E140" s="142"/>
      <c r="F140" s="142"/>
      <c r="G140" s="143"/>
      <c r="H140" s="143"/>
      <c r="I140" s="144"/>
      <c r="J140" s="144"/>
      <c r="K140" s="145"/>
      <c r="L140" s="146"/>
      <c r="M140" s="147"/>
      <c r="N140" s="146"/>
      <c r="O140" s="144"/>
      <c r="P140" s="144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</row>
    <row r="141" ht="13.5" customHeight="1">
      <c r="A141" s="142"/>
      <c r="B141" s="142"/>
      <c r="C141" s="142"/>
      <c r="D141" s="142"/>
      <c r="E141" s="142"/>
      <c r="F141" s="142"/>
      <c r="G141" s="143"/>
      <c r="H141" s="143"/>
      <c r="I141" s="144"/>
      <c r="J141" s="144"/>
      <c r="K141" s="145"/>
      <c r="L141" s="146"/>
      <c r="M141" s="147"/>
      <c r="N141" s="146"/>
      <c r="O141" s="144"/>
      <c r="P141" s="144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</row>
    <row r="142" ht="13.5" customHeight="1">
      <c r="A142" s="142"/>
      <c r="B142" s="142"/>
      <c r="C142" s="142"/>
      <c r="D142" s="142"/>
      <c r="E142" s="142"/>
      <c r="F142" s="142"/>
      <c r="G142" s="143"/>
      <c r="H142" s="143"/>
      <c r="I142" s="144"/>
      <c r="J142" s="144"/>
      <c r="K142" s="145"/>
      <c r="L142" s="146"/>
      <c r="M142" s="147"/>
      <c r="N142" s="146"/>
      <c r="O142" s="144"/>
      <c r="P142" s="144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</row>
    <row r="143" ht="13.5" customHeight="1">
      <c r="A143" s="142"/>
      <c r="B143" s="142"/>
      <c r="C143" s="142"/>
      <c r="D143" s="142"/>
      <c r="E143" s="142"/>
      <c r="F143" s="142"/>
      <c r="G143" s="143"/>
      <c r="H143" s="143"/>
      <c r="I143" s="144"/>
      <c r="J143" s="144"/>
      <c r="K143" s="145"/>
      <c r="L143" s="146"/>
      <c r="M143" s="147"/>
      <c r="N143" s="146"/>
      <c r="O143" s="144"/>
      <c r="P143" s="144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</row>
    <row r="144" ht="13.5" customHeight="1">
      <c r="A144" s="142"/>
      <c r="B144" s="142"/>
      <c r="C144" s="142"/>
      <c r="D144" s="142"/>
      <c r="E144" s="142"/>
      <c r="F144" s="142"/>
      <c r="G144" s="143"/>
      <c r="H144" s="143"/>
      <c r="I144" s="144"/>
      <c r="J144" s="144"/>
      <c r="K144" s="145"/>
      <c r="L144" s="146"/>
      <c r="M144" s="147"/>
      <c r="N144" s="146"/>
      <c r="O144" s="144"/>
      <c r="P144" s="144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</row>
    <row r="145" ht="13.5" customHeight="1">
      <c r="A145" s="142"/>
      <c r="B145" s="142"/>
      <c r="C145" s="142"/>
      <c r="D145" s="142"/>
      <c r="E145" s="142"/>
      <c r="F145" s="142"/>
      <c r="G145" s="143"/>
      <c r="H145" s="143"/>
      <c r="I145" s="144"/>
      <c r="J145" s="144"/>
      <c r="K145" s="145"/>
      <c r="L145" s="146"/>
      <c r="M145" s="147"/>
      <c r="N145" s="146"/>
      <c r="O145" s="144"/>
      <c r="P145" s="144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</row>
    <row r="146" ht="13.5" customHeight="1">
      <c r="A146" s="142"/>
      <c r="B146" s="142"/>
      <c r="C146" s="142"/>
      <c r="D146" s="142"/>
      <c r="E146" s="142"/>
      <c r="F146" s="142"/>
      <c r="G146" s="143"/>
      <c r="H146" s="143"/>
      <c r="I146" s="144"/>
      <c r="J146" s="144"/>
      <c r="K146" s="145"/>
      <c r="L146" s="146"/>
      <c r="M146" s="147"/>
      <c r="N146" s="146"/>
      <c r="O146" s="144"/>
      <c r="P146" s="144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</row>
    <row r="147" ht="13.5" customHeight="1">
      <c r="A147" s="142"/>
      <c r="B147" s="142"/>
      <c r="C147" s="142"/>
      <c r="D147" s="142"/>
      <c r="E147" s="142"/>
      <c r="F147" s="142"/>
      <c r="G147" s="143"/>
      <c r="H147" s="143"/>
      <c r="I147" s="144"/>
      <c r="J147" s="144"/>
      <c r="K147" s="145"/>
      <c r="L147" s="146"/>
      <c r="M147" s="147"/>
      <c r="N147" s="146"/>
      <c r="O147" s="144"/>
      <c r="P147" s="144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</row>
    <row r="148" ht="13.5" customHeight="1">
      <c r="A148" s="142"/>
      <c r="B148" s="142"/>
      <c r="C148" s="142"/>
      <c r="D148" s="142"/>
      <c r="E148" s="142"/>
      <c r="F148" s="142"/>
      <c r="G148" s="143"/>
      <c r="H148" s="143"/>
      <c r="I148" s="144"/>
      <c r="J148" s="144"/>
      <c r="K148" s="145"/>
      <c r="L148" s="146"/>
      <c r="M148" s="147"/>
      <c r="N148" s="146"/>
      <c r="O148" s="144"/>
      <c r="P148" s="144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</row>
    <row r="149" ht="13.5" customHeight="1">
      <c r="A149" s="142"/>
      <c r="B149" s="142"/>
      <c r="C149" s="142"/>
      <c r="D149" s="142"/>
      <c r="E149" s="142"/>
      <c r="F149" s="142"/>
      <c r="G149" s="143"/>
      <c r="H149" s="143"/>
      <c r="I149" s="144"/>
      <c r="J149" s="144"/>
      <c r="K149" s="145"/>
      <c r="L149" s="146"/>
      <c r="M149" s="147"/>
      <c r="N149" s="146"/>
      <c r="O149" s="144"/>
      <c r="P149" s="144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</row>
    <row r="150" ht="13.5" customHeight="1">
      <c r="A150" s="142"/>
      <c r="B150" s="142"/>
      <c r="C150" s="142"/>
      <c r="D150" s="142"/>
      <c r="E150" s="142"/>
      <c r="F150" s="142"/>
      <c r="G150" s="143"/>
      <c r="H150" s="143"/>
      <c r="I150" s="144"/>
      <c r="J150" s="144"/>
      <c r="K150" s="145"/>
      <c r="L150" s="146"/>
      <c r="M150" s="147"/>
      <c r="N150" s="146"/>
      <c r="O150" s="144"/>
      <c r="P150" s="144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</row>
    <row r="151" ht="13.5" customHeight="1">
      <c r="A151" s="142"/>
      <c r="B151" s="142"/>
      <c r="C151" s="142"/>
      <c r="D151" s="142"/>
      <c r="E151" s="142"/>
      <c r="F151" s="142"/>
      <c r="G151" s="143"/>
      <c r="H151" s="143"/>
      <c r="I151" s="144"/>
      <c r="J151" s="144"/>
      <c r="K151" s="145"/>
      <c r="L151" s="146"/>
      <c r="M151" s="147"/>
      <c r="N151" s="146"/>
      <c r="O151" s="144"/>
      <c r="P151" s="144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</row>
    <row r="152" ht="13.5" customHeight="1">
      <c r="A152" s="142"/>
      <c r="B152" s="142"/>
      <c r="C152" s="142"/>
      <c r="D152" s="142"/>
      <c r="E152" s="142"/>
      <c r="F152" s="142"/>
      <c r="G152" s="143"/>
      <c r="H152" s="143"/>
      <c r="I152" s="144"/>
      <c r="J152" s="144"/>
      <c r="K152" s="145"/>
      <c r="L152" s="146"/>
      <c r="M152" s="147"/>
      <c r="N152" s="146"/>
      <c r="O152" s="144"/>
      <c r="P152" s="144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</row>
    <row r="153" ht="13.5" customHeight="1">
      <c r="A153" s="142"/>
      <c r="B153" s="142"/>
      <c r="C153" s="142"/>
      <c r="D153" s="142"/>
      <c r="E153" s="142"/>
      <c r="F153" s="142"/>
      <c r="G153" s="143"/>
      <c r="H153" s="143"/>
      <c r="I153" s="144"/>
      <c r="J153" s="144"/>
      <c r="K153" s="145"/>
      <c r="L153" s="146"/>
      <c r="M153" s="147"/>
      <c r="N153" s="146"/>
      <c r="O153" s="144"/>
      <c r="P153" s="144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2"/>
    </row>
    <row r="154" ht="13.5" customHeight="1">
      <c r="A154" s="142"/>
      <c r="B154" s="142"/>
      <c r="C154" s="142"/>
      <c r="D154" s="142"/>
      <c r="E154" s="142"/>
      <c r="F154" s="142"/>
      <c r="G154" s="143"/>
      <c r="H154" s="143"/>
      <c r="I154" s="144"/>
      <c r="J154" s="144"/>
      <c r="K154" s="145"/>
      <c r="L154" s="146"/>
      <c r="M154" s="147"/>
      <c r="N154" s="146"/>
      <c r="O154" s="144"/>
      <c r="P154" s="144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2"/>
    </row>
    <row r="155" ht="13.5" customHeight="1">
      <c r="A155" s="142"/>
      <c r="B155" s="142"/>
      <c r="C155" s="142"/>
      <c r="D155" s="142"/>
      <c r="E155" s="142"/>
      <c r="F155" s="142"/>
      <c r="G155" s="143"/>
      <c r="H155" s="143"/>
      <c r="I155" s="144"/>
      <c r="J155" s="144"/>
      <c r="K155" s="145"/>
      <c r="L155" s="146"/>
      <c r="M155" s="147"/>
      <c r="N155" s="146"/>
      <c r="O155" s="144"/>
      <c r="P155" s="144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</row>
    <row r="156" ht="13.5" customHeight="1">
      <c r="A156" s="142"/>
      <c r="B156" s="142"/>
      <c r="C156" s="142"/>
      <c r="D156" s="142"/>
      <c r="E156" s="142"/>
      <c r="F156" s="142"/>
      <c r="G156" s="143"/>
      <c r="H156" s="143"/>
      <c r="I156" s="144"/>
      <c r="J156" s="144"/>
      <c r="K156" s="145"/>
      <c r="L156" s="146"/>
      <c r="M156" s="147"/>
      <c r="N156" s="146"/>
      <c r="O156" s="144"/>
      <c r="P156" s="144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</row>
    <row r="157" ht="13.5" customHeight="1">
      <c r="A157" s="142"/>
      <c r="B157" s="142"/>
      <c r="C157" s="142"/>
      <c r="D157" s="142"/>
      <c r="E157" s="142"/>
      <c r="F157" s="142"/>
      <c r="G157" s="143"/>
      <c r="H157" s="143"/>
      <c r="I157" s="144"/>
      <c r="J157" s="144"/>
      <c r="K157" s="145"/>
      <c r="L157" s="146"/>
      <c r="M157" s="147"/>
      <c r="N157" s="146"/>
      <c r="O157" s="144"/>
      <c r="P157" s="144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</row>
    <row r="158" ht="13.5" customHeight="1">
      <c r="A158" s="142"/>
      <c r="B158" s="142"/>
      <c r="C158" s="142"/>
      <c r="D158" s="142"/>
      <c r="E158" s="142"/>
      <c r="F158" s="142"/>
      <c r="G158" s="143"/>
      <c r="H158" s="143"/>
      <c r="I158" s="144"/>
      <c r="J158" s="144"/>
      <c r="K158" s="145"/>
      <c r="L158" s="146"/>
      <c r="M158" s="147"/>
      <c r="N158" s="146"/>
      <c r="O158" s="144"/>
      <c r="P158" s="144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</row>
    <row r="159" ht="13.5" customHeight="1">
      <c r="A159" s="142"/>
      <c r="B159" s="142"/>
      <c r="C159" s="142"/>
      <c r="D159" s="142"/>
      <c r="E159" s="142"/>
      <c r="F159" s="142"/>
      <c r="G159" s="143"/>
      <c r="H159" s="143"/>
      <c r="I159" s="144"/>
      <c r="J159" s="144"/>
      <c r="K159" s="145"/>
      <c r="L159" s="146"/>
      <c r="M159" s="147"/>
      <c r="N159" s="146"/>
      <c r="O159" s="144"/>
      <c r="P159" s="144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</row>
    <row r="160" ht="13.5" customHeight="1">
      <c r="A160" s="142"/>
      <c r="B160" s="142"/>
      <c r="C160" s="142"/>
      <c r="D160" s="142"/>
      <c r="E160" s="142"/>
      <c r="F160" s="142"/>
      <c r="G160" s="143"/>
      <c r="H160" s="143"/>
      <c r="I160" s="144"/>
      <c r="J160" s="144"/>
      <c r="K160" s="145"/>
      <c r="L160" s="146"/>
      <c r="M160" s="147"/>
      <c r="N160" s="146"/>
      <c r="O160" s="144"/>
      <c r="P160" s="144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</row>
    <row r="161" ht="13.5" customHeight="1">
      <c r="A161" s="142"/>
      <c r="B161" s="142"/>
      <c r="C161" s="142"/>
      <c r="D161" s="142"/>
      <c r="E161" s="142"/>
      <c r="F161" s="142"/>
      <c r="G161" s="143"/>
      <c r="H161" s="143"/>
      <c r="I161" s="144"/>
      <c r="J161" s="144"/>
      <c r="K161" s="145"/>
      <c r="L161" s="146"/>
      <c r="M161" s="147"/>
      <c r="N161" s="146"/>
      <c r="O161" s="144"/>
      <c r="P161" s="144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</row>
    <row r="162" ht="13.5" customHeight="1">
      <c r="A162" s="142"/>
      <c r="B162" s="142"/>
      <c r="C162" s="142"/>
      <c r="D162" s="142"/>
      <c r="E162" s="142"/>
      <c r="F162" s="142"/>
      <c r="G162" s="143"/>
      <c r="H162" s="143"/>
      <c r="I162" s="144"/>
      <c r="J162" s="144"/>
      <c r="K162" s="145"/>
      <c r="L162" s="146"/>
      <c r="M162" s="147"/>
      <c r="N162" s="146"/>
      <c r="O162" s="144"/>
      <c r="P162" s="144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</row>
    <row r="163" ht="13.5" customHeight="1">
      <c r="A163" s="142"/>
      <c r="B163" s="142"/>
      <c r="C163" s="142"/>
      <c r="D163" s="142"/>
      <c r="E163" s="142"/>
      <c r="F163" s="142"/>
      <c r="G163" s="143"/>
      <c r="H163" s="143"/>
      <c r="I163" s="144"/>
      <c r="J163" s="144"/>
      <c r="K163" s="145"/>
      <c r="L163" s="146"/>
      <c r="M163" s="147"/>
      <c r="N163" s="146"/>
      <c r="O163" s="144"/>
      <c r="P163" s="144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</row>
    <row r="164" ht="13.5" customHeight="1">
      <c r="A164" s="142"/>
      <c r="B164" s="142"/>
      <c r="C164" s="142"/>
      <c r="D164" s="142"/>
      <c r="E164" s="142"/>
      <c r="F164" s="142"/>
      <c r="G164" s="143"/>
      <c r="H164" s="143"/>
      <c r="I164" s="144"/>
      <c r="J164" s="144"/>
      <c r="K164" s="145"/>
      <c r="L164" s="146"/>
      <c r="M164" s="147"/>
      <c r="N164" s="146"/>
      <c r="O164" s="144"/>
      <c r="P164" s="144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</row>
    <row r="165" ht="13.5" customHeight="1">
      <c r="A165" s="142"/>
      <c r="B165" s="142"/>
      <c r="C165" s="142"/>
      <c r="D165" s="142"/>
      <c r="E165" s="142"/>
      <c r="F165" s="142"/>
      <c r="G165" s="143"/>
      <c r="H165" s="143"/>
      <c r="I165" s="144"/>
      <c r="J165" s="144"/>
      <c r="K165" s="145"/>
      <c r="L165" s="146"/>
      <c r="M165" s="147"/>
      <c r="N165" s="146"/>
      <c r="O165" s="144"/>
      <c r="P165" s="144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</row>
    <row r="166" ht="13.5" customHeight="1">
      <c r="A166" s="142"/>
      <c r="B166" s="142"/>
      <c r="C166" s="142"/>
      <c r="D166" s="142"/>
      <c r="E166" s="142"/>
      <c r="F166" s="142"/>
      <c r="G166" s="143"/>
      <c r="H166" s="143"/>
      <c r="I166" s="144"/>
      <c r="J166" s="144"/>
      <c r="K166" s="145"/>
      <c r="L166" s="146"/>
      <c r="M166" s="147"/>
      <c r="N166" s="146"/>
      <c r="O166" s="144"/>
      <c r="P166" s="144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</row>
    <row r="167" ht="13.5" customHeight="1">
      <c r="A167" s="142"/>
      <c r="B167" s="142"/>
      <c r="C167" s="142"/>
      <c r="D167" s="142"/>
      <c r="E167" s="142"/>
      <c r="F167" s="142"/>
      <c r="G167" s="143"/>
      <c r="H167" s="143"/>
      <c r="I167" s="144"/>
      <c r="J167" s="144"/>
      <c r="K167" s="145"/>
      <c r="L167" s="146"/>
      <c r="M167" s="147"/>
      <c r="N167" s="146"/>
      <c r="O167" s="144"/>
      <c r="P167" s="144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</row>
    <row r="168" ht="13.5" customHeight="1">
      <c r="A168" s="142"/>
      <c r="B168" s="142"/>
      <c r="C168" s="142"/>
      <c r="D168" s="142"/>
      <c r="E168" s="142"/>
      <c r="F168" s="142"/>
      <c r="G168" s="143"/>
      <c r="H168" s="143"/>
      <c r="I168" s="144"/>
      <c r="J168" s="144"/>
      <c r="K168" s="145"/>
      <c r="L168" s="146"/>
      <c r="M168" s="147"/>
      <c r="N168" s="146"/>
      <c r="O168" s="144"/>
      <c r="P168" s="144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</row>
    <row r="169" ht="13.5" customHeight="1">
      <c r="A169" s="142"/>
      <c r="B169" s="142"/>
      <c r="C169" s="142"/>
      <c r="D169" s="142"/>
      <c r="E169" s="142"/>
      <c r="F169" s="142"/>
      <c r="G169" s="143"/>
      <c r="H169" s="143"/>
      <c r="I169" s="144"/>
      <c r="J169" s="144"/>
      <c r="K169" s="145"/>
      <c r="L169" s="146"/>
      <c r="M169" s="147"/>
      <c r="N169" s="146"/>
      <c r="O169" s="144"/>
      <c r="P169" s="144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  <c r="AJ169" s="142"/>
    </row>
    <row r="170" ht="13.5" customHeight="1">
      <c r="A170" s="142"/>
      <c r="B170" s="142"/>
      <c r="C170" s="142"/>
      <c r="D170" s="142"/>
      <c r="E170" s="142"/>
      <c r="F170" s="142"/>
      <c r="G170" s="143"/>
      <c r="H170" s="143"/>
      <c r="I170" s="144"/>
      <c r="J170" s="144"/>
      <c r="K170" s="145"/>
      <c r="L170" s="146"/>
      <c r="M170" s="147"/>
      <c r="N170" s="146"/>
      <c r="O170" s="144"/>
      <c r="P170" s="144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  <c r="AJ170" s="142"/>
    </row>
    <row r="171" ht="13.5" customHeight="1">
      <c r="A171" s="142"/>
      <c r="B171" s="142"/>
      <c r="C171" s="142"/>
      <c r="D171" s="142"/>
      <c r="E171" s="142"/>
      <c r="F171" s="142"/>
      <c r="G171" s="143"/>
      <c r="H171" s="143"/>
      <c r="I171" s="144"/>
      <c r="J171" s="144"/>
      <c r="K171" s="145"/>
      <c r="L171" s="146"/>
      <c r="M171" s="147"/>
      <c r="N171" s="146"/>
      <c r="O171" s="144"/>
      <c r="P171" s="144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  <c r="AJ171" s="142"/>
    </row>
    <row r="172" ht="13.5" customHeight="1">
      <c r="A172" s="142"/>
      <c r="B172" s="142"/>
      <c r="C172" s="142"/>
      <c r="D172" s="142"/>
      <c r="E172" s="142"/>
      <c r="F172" s="142"/>
      <c r="G172" s="143"/>
      <c r="H172" s="143"/>
      <c r="I172" s="144"/>
      <c r="J172" s="144"/>
      <c r="K172" s="145"/>
      <c r="L172" s="146"/>
      <c r="M172" s="147"/>
      <c r="N172" s="146"/>
      <c r="O172" s="144"/>
      <c r="P172" s="144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2"/>
    </row>
    <row r="173" ht="13.5" customHeight="1">
      <c r="A173" s="142"/>
      <c r="B173" s="142"/>
      <c r="C173" s="142"/>
      <c r="D173" s="142"/>
      <c r="E173" s="142"/>
      <c r="F173" s="142"/>
      <c r="G173" s="143"/>
      <c r="H173" s="143"/>
      <c r="I173" s="144"/>
      <c r="J173" s="144"/>
      <c r="K173" s="145"/>
      <c r="L173" s="146"/>
      <c r="M173" s="147"/>
      <c r="N173" s="146"/>
      <c r="O173" s="144"/>
      <c r="P173" s="144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2"/>
    </row>
    <row r="174" ht="13.5" customHeight="1">
      <c r="A174" s="142"/>
      <c r="B174" s="142"/>
      <c r="C174" s="142"/>
      <c r="D174" s="142"/>
      <c r="E174" s="142"/>
      <c r="F174" s="142"/>
      <c r="G174" s="143"/>
      <c r="H174" s="143"/>
      <c r="I174" s="144"/>
      <c r="J174" s="144"/>
      <c r="K174" s="145"/>
      <c r="L174" s="146"/>
      <c r="M174" s="147"/>
      <c r="N174" s="146"/>
      <c r="O174" s="144"/>
      <c r="P174" s="144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2"/>
      <c r="AI174" s="142"/>
      <c r="AJ174" s="142"/>
    </row>
    <row r="175" ht="13.5" customHeight="1">
      <c r="A175" s="142"/>
      <c r="B175" s="142"/>
      <c r="C175" s="142"/>
      <c r="D175" s="142"/>
      <c r="E175" s="142"/>
      <c r="F175" s="142"/>
      <c r="G175" s="143"/>
      <c r="H175" s="143"/>
      <c r="I175" s="144"/>
      <c r="J175" s="144"/>
      <c r="K175" s="145"/>
      <c r="L175" s="146"/>
      <c r="M175" s="147"/>
      <c r="N175" s="146"/>
      <c r="O175" s="144"/>
      <c r="P175" s="144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  <c r="AJ175" s="142"/>
    </row>
    <row r="176" ht="13.5" customHeight="1">
      <c r="A176" s="142"/>
      <c r="B176" s="142"/>
      <c r="C176" s="142"/>
      <c r="D176" s="142"/>
      <c r="E176" s="142"/>
      <c r="F176" s="142"/>
      <c r="G176" s="143"/>
      <c r="H176" s="143"/>
      <c r="I176" s="144"/>
      <c r="J176" s="144"/>
      <c r="K176" s="145"/>
      <c r="L176" s="146"/>
      <c r="M176" s="147"/>
      <c r="N176" s="146"/>
      <c r="O176" s="144"/>
      <c r="P176" s="144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</row>
    <row r="177" ht="13.5" customHeight="1">
      <c r="A177" s="142"/>
      <c r="B177" s="142"/>
      <c r="C177" s="142"/>
      <c r="D177" s="142"/>
      <c r="E177" s="142"/>
      <c r="F177" s="142"/>
      <c r="G177" s="143"/>
      <c r="H177" s="143"/>
      <c r="I177" s="144"/>
      <c r="J177" s="144"/>
      <c r="K177" s="145"/>
      <c r="L177" s="146"/>
      <c r="M177" s="147"/>
      <c r="N177" s="146"/>
      <c r="O177" s="144"/>
      <c r="P177" s="144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</row>
    <row r="178" ht="13.5" customHeight="1">
      <c r="A178" s="142"/>
      <c r="B178" s="142"/>
      <c r="C178" s="142"/>
      <c r="D178" s="142"/>
      <c r="E178" s="142"/>
      <c r="F178" s="142"/>
      <c r="G178" s="143"/>
      <c r="H178" s="143"/>
      <c r="I178" s="144"/>
      <c r="J178" s="144"/>
      <c r="K178" s="145"/>
      <c r="L178" s="146"/>
      <c r="M178" s="147"/>
      <c r="N178" s="146"/>
      <c r="O178" s="144"/>
      <c r="P178" s="144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</row>
    <row r="179" ht="13.5" customHeight="1">
      <c r="A179" s="142"/>
      <c r="B179" s="142"/>
      <c r="C179" s="142"/>
      <c r="D179" s="142"/>
      <c r="E179" s="142"/>
      <c r="F179" s="142"/>
      <c r="G179" s="143"/>
      <c r="H179" s="143"/>
      <c r="I179" s="144"/>
      <c r="J179" s="144"/>
      <c r="K179" s="145"/>
      <c r="L179" s="146"/>
      <c r="M179" s="147"/>
      <c r="N179" s="146"/>
      <c r="O179" s="144"/>
      <c r="P179" s="144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</row>
    <row r="180" ht="13.5" customHeight="1">
      <c r="A180" s="142"/>
      <c r="B180" s="142"/>
      <c r="C180" s="142"/>
      <c r="D180" s="142"/>
      <c r="E180" s="142"/>
      <c r="F180" s="142"/>
      <c r="G180" s="143"/>
      <c r="H180" s="143"/>
      <c r="I180" s="144"/>
      <c r="J180" s="144"/>
      <c r="K180" s="145"/>
      <c r="L180" s="146"/>
      <c r="M180" s="147"/>
      <c r="N180" s="146"/>
      <c r="O180" s="144"/>
      <c r="P180" s="144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</row>
    <row r="181" ht="13.5" customHeight="1">
      <c r="A181" s="142"/>
      <c r="B181" s="142"/>
      <c r="C181" s="142"/>
      <c r="D181" s="142"/>
      <c r="E181" s="142"/>
      <c r="F181" s="142"/>
      <c r="G181" s="143"/>
      <c r="H181" s="143"/>
      <c r="I181" s="144"/>
      <c r="J181" s="144"/>
      <c r="K181" s="145"/>
      <c r="L181" s="146"/>
      <c r="M181" s="147"/>
      <c r="N181" s="146"/>
      <c r="O181" s="144"/>
      <c r="P181" s="144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</row>
    <row r="182" ht="13.5" customHeight="1">
      <c r="A182" s="142"/>
      <c r="B182" s="142"/>
      <c r="C182" s="142"/>
      <c r="D182" s="142"/>
      <c r="E182" s="142"/>
      <c r="F182" s="142"/>
      <c r="G182" s="143"/>
      <c r="H182" s="143"/>
      <c r="I182" s="144"/>
      <c r="J182" s="144"/>
      <c r="K182" s="145"/>
      <c r="L182" s="146"/>
      <c r="M182" s="147"/>
      <c r="N182" s="146"/>
      <c r="O182" s="144"/>
      <c r="P182" s="144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</row>
    <row r="183" ht="13.5" customHeight="1">
      <c r="A183" s="142"/>
      <c r="B183" s="142"/>
      <c r="C183" s="142"/>
      <c r="D183" s="142"/>
      <c r="E183" s="142"/>
      <c r="F183" s="142"/>
      <c r="G183" s="143"/>
      <c r="H183" s="143"/>
      <c r="I183" s="144"/>
      <c r="J183" s="144"/>
      <c r="K183" s="145"/>
      <c r="L183" s="146"/>
      <c r="M183" s="147"/>
      <c r="N183" s="146"/>
      <c r="O183" s="144"/>
      <c r="P183" s="144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</row>
    <row r="184" ht="13.5" customHeight="1">
      <c r="A184" s="142"/>
      <c r="B184" s="142"/>
      <c r="C184" s="142"/>
      <c r="D184" s="142"/>
      <c r="E184" s="142"/>
      <c r="F184" s="142"/>
      <c r="G184" s="143"/>
      <c r="H184" s="143"/>
      <c r="I184" s="144"/>
      <c r="J184" s="144"/>
      <c r="K184" s="145"/>
      <c r="L184" s="146"/>
      <c r="M184" s="147"/>
      <c r="N184" s="146"/>
      <c r="O184" s="144"/>
      <c r="P184" s="144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</row>
    <row r="185" ht="13.5" customHeight="1">
      <c r="A185" s="142"/>
      <c r="B185" s="142"/>
      <c r="C185" s="142"/>
      <c r="D185" s="142"/>
      <c r="E185" s="142"/>
      <c r="F185" s="142"/>
      <c r="G185" s="143"/>
      <c r="H185" s="143"/>
      <c r="I185" s="144"/>
      <c r="J185" s="144"/>
      <c r="K185" s="145"/>
      <c r="L185" s="146"/>
      <c r="M185" s="147"/>
      <c r="N185" s="146"/>
      <c r="O185" s="144"/>
      <c r="P185" s="144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</row>
    <row r="186" ht="13.5" customHeight="1">
      <c r="A186" s="142"/>
      <c r="B186" s="142"/>
      <c r="C186" s="142"/>
      <c r="D186" s="142"/>
      <c r="E186" s="142"/>
      <c r="F186" s="142"/>
      <c r="G186" s="143"/>
      <c r="H186" s="143"/>
      <c r="I186" s="144"/>
      <c r="J186" s="144"/>
      <c r="K186" s="145"/>
      <c r="L186" s="146"/>
      <c r="M186" s="147"/>
      <c r="N186" s="146"/>
      <c r="O186" s="144"/>
      <c r="P186" s="144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</row>
    <row r="187" ht="13.5" customHeight="1">
      <c r="A187" s="142"/>
      <c r="B187" s="142"/>
      <c r="C187" s="142"/>
      <c r="D187" s="142"/>
      <c r="E187" s="142"/>
      <c r="F187" s="142"/>
      <c r="G187" s="143"/>
      <c r="H187" s="143"/>
      <c r="I187" s="144"/>
      <c r="J187" s="144"/>
      <c r="K187" s="145"/>
      <c r="L187" s="146"/>
      <c r="M187" s="147"/>
      <c r="N187" s="146"/>
      <c r="O187" s="144"/>
      <c r="P187" s="144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</row>
    <row r="188" ht="13.5" customHeight="1">
      <c r="A188" s="142"/>
      <c r="B188" s="142"/>
      <c r="C188" s="142"/>
      <c r="D188" s="142"/>
      <c r="E188" s="142"/>
      <c r="F188" s="142"/>
      <c r="G188" s="143"/>
      <c r="H188" s="143"/>
      <c r="I188" s="144"/>
      <c r="J188" s="144"/>
      <c r="K188" s="145"/>
      <c r="L188" s="146"/>
      <c r="M188" s="147"/>
      <c r="N188" s="146"/>
      <c r="O188" s="144"/>
      <c r="P188" s="144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</row>
    <row r="189" ht="13.5" customHeight="1">
      <c r="A189" s="142"/>
      <c r="B189" s="142"/>
      <c r="C189" s="142"/>
      <c r="D189" s="142"/>
      <c r="E189" s="142"/>
      <c r="F189" s="142"/>
      <c r="G189" s="143"/>
      <c r="H189" s="143"/>
      <c r="I189" s="144"/>
      <c r="J189" s="144"/>
      <c r="K189" s="145"/>
      <c r="L189" s="146"/>
      <c r="M189" s="147"/>
      <c r="N189" s="146"/>
      <c r="O189" s="144"/>
      <c r="P189" s="144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</row>
    <row r="190" ht="13.5" customHeight="1">
      <c r="A190" s="142"/>
      <c r="B190" s="142"/>
      <c r="C190" s="142"/>
      <c r="D190" s="142"/>
      <c r="E190" s="142"/>
      <c r="F190" s="142"/>
      <c r="G190" s="143"/>
      <c r="H190" s="143"/>
      <c r="I190" s="144"/>
      <c r="J190" s="144"/>
      <c r="K190" s="145"/>
      <c r="L190" s="146"/>
      <c r="M190" s="147"/>
      <c r="N190" s="146"/>
      <c r="O190" s="144"/>
      <c r="P190" s="144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  <c r="AJ190" s="142"/>
    </row>
    <row r="191" ht="13.5" customHeight="1">
      <c r="A191" s="142"/>
      <c r="B191" s="142"/>
      <c r="C191" s="142"/>
      <c r="D191" s="142"/>
      <c r="E191" s="142"/>
      <c r="F191" s="142"/>
      <c r="G191" s="143"/>
      <c r="H191" s="143"/>
      <c r="I191" s="144"/>
      <c r="J191" s="144"/>
      <c r="K191" s="145"/>
      <c r="L191" s="146"/>
      <c r="M191" s="147"/>
      <c r="N191" s="146"/>
      <c r="O191" s="144"/>
      <c r="P191" s="144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  <c r="AI191" s="142"/>
      <c r="AJ191" s="142"/>
    </row>
    <row r="192" ht="13.5" customHeight="1">
      <c r="A192" s="142"/>
      <c r="B192" s="142"/>
      <c r="C192" s="142"/>
      <c r="D192" s="142"/>
      <c r="E192" s="142"/>
      <c r="F192" s="142"/>
      <c r="G192" s="143"/>
      <c r="H192" s="143"/>
      <c r="I192" s="144"/>
      <c r="J192" s="144"/>
      <c r="K192" s="145"/>
      <c r="L192" s="146"/>
      <c r="M192" s="147"/>
      <c r="N192" s="146"/>
      <c r="O192" s="144"/>
      <c r="P192" s="144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2"/>
      <c r="AI192" s="142"/>
      <c r="AJ192" s="142"/>
    </row>
    <row r="193" ht="13.5" customHeight="1">
      <c r="A193" s="142"/>
      <c r="B193" s="142"/>
      <c r="C193" s="142"/>
      <c r="D193" s="142"/>
      <c r="E193" s="142"/>
      <c r="F193" s="142"/>
      <c r="G193" s="143"/>
      <c r="H193" s="143"/>
      <c r="I193" s="144"/>
      <c r="J193" s="144"/>
      <c r="K193" s="145"/>
      <c r="L193" s="146"/>
      <c r="M193" s="147"/>
      <c r="N193" s="146"/>
      <c r="O193" s="144"/>
      <c r="P193" s="144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2"/>
      <c r="AI193" s="142"/>
      <c r="AJ193" s="142"/>
    </row>
    <row r="194" ht="13.5" customHeight="1">
      <c r="A194" s="142"/>
      <c r="B194" s="142"/>
      <c r="C194" s="142"/>
      <c r="D194" s="142"/>
      <c r="E194" s="142"/>
      <c r="F194" s="142"/>
      <c r="G194" s="143"/>
      <c r="H194" s="143"/>
      <c r="I194" s="144"/>
      <c r="J194" s="144"/>
      <c r="K194" s="145"/>
      <c r="L194" s="146"/>
      <c r="M194" s="147"/>
      <c r="N194" s="146"/>
      <c r="O194" s="144"/>
      <c r="P194" s="144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2"/>
      <c r="AI194" s="142"/>
      <c r="AJ194" s="142"/>
    </row>
    <row r="195" ht="13.5" customHeight="1">
      <c r="A195" s="142"/>
      <c r="B195" s="142"/>
      <c r="C195" s="142"/>
      <c r="D195" s="142"/>
      <c r="E195" s="142"/>
      <c r="F195" s="142"/>
      <c r="G195" s="143"/>
      <c r="H195" s="143"/>
      <c r="I195" s="144"/>
      <c r="J195" s="144"/>
      <c r="K195" s="145"/>
      <c r="L195" s="146"/>
      <c r="M195" s="147"/>
      <c r="N195" s="146"/>
      <c r="O195" s="144"/>
      <c r="P195" s="144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2"/>
      <c r="AI195" s="142"/>
      <c r="AJ195" s="142"/>
    </row>
    <row r="196" ht="13.5" customHeight="1">
      <c r="A196" s="142"/>
      <c r="B196" s="142"/>
      <c r="C196" s="142"/>
      <c r="D196" s="142"/>
      <c r="E196" s="142"/>
      <c r="F196" s="142"/>
      <c r="G196" s="143"/>
      <c r="H196" s="143"/>
      <c r="I196" s="144"/>
      <c r="J196" s="144"/>
      <c r="K196" s="145"/>
      <c r="L196" s="146"/>
      <c r="M196" s="147"/>
      <c r="N196" s="146"/>
      <c r="O196" s="144"/>
      <c r="P196" s="144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  <c r="AJ196" s="142"/>
    </row>
    <row r="197" ht="13.5" customHeight="1">
      <c r="A197" s="142"/>
      <c r="B197" s="142"/>
      <c r="C197" s="142"/>
      <c r="D197" s="142"/>
      <c r="E197" s="142"/>
      <c r="F197" s="142"/>
      <c r="G197" s="143"/>
      <c r="H197" s="143"/>
      <c r="I197" s="144"/>
      <c r="J197" s="144"/>
      <c r="K197" s="145"/>
      <c r="L197" s="146"/>
      <c r="M197" s="147"/>
      <c r="N197" s="146"/>
      <c r="O197" s="144"/>
      <c r="P197" s="144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</row>
    <row r="198" ht="13.5" customHeight="1">
      <c r="A198" s="142"/>
      <c r="B198" s="142"/>
      <c r="C198" s="142"/>
      <c r="D198" s="142"/>
      <c r="E198" s="142"/>
      <c r="F198" s="142"/>
      <c r="G198" s="143"/>
      <c r="H198" s="143"/>
      <c r="I198" s="144"/>
      <c r="J198" s="144"/>
      <c r="K198" s="145"/>
      <c r="L198" s="146"/>
      <c r="M198" s="147"/>
      <c r="N198" s="146"/>
      <c r="O198" s="144"/>
      <c r="P198" s="144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</row>
    <row r="199" ht="13.5" customHeight="1">
      <c r="A199" s="142"/>
      <c r="B199" s="142"/>
      <c r="C199" s="142"/>
      <c r="D199" s="142"/>
      <c r="E199" s="142"/>
      <c r="F199" s="142"/>
      <c r="G199" s="143"/>
      <c r="H199" s="143"/>
      <c r="I199" s="144"/>
      <c r="J199" s="144"/>
      <c r="K199" s="145"/>
      <c r="L199" s="146"/>
      <c r="M199" s="147"/>
      <c r="N199" s="146"/>
      <c r="O199" s="144"/>
      <c r="P199" s="144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</row>
    <row r="200" ht="13.5" customHeight="1">
      <c r="A200" s="142"/>
      <c r="B200" s="142"/>
      <c r="C200" s="142"/>
      <c r="D200" s="142"/>
      <c r="E200" s="142"/>
      <c r="F200" s="142"/>
      <c r="G200" s="143"/>
      <c r="H200" s="143"/>
      <c r="I200" s="144"/>
      <c r="J200" s="144"/>
      <c r="K200" s="145"/>
      <c r="L200" s="146"/>
      <c r="M200" s="147"/>
      <c r="N200" s="146"/>
      <c r="O200" s="144"/>
      <c r="P200" s="144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</row>
    <row r="201" ht="13.5" customHeight="1">
      <c r="A201" s="142"/>
      <c r="B201" s="142"/>
      <c r="C201" s="142"/>
      <c r="D201" s="142"/>
      <c r="E201" s="142"/>
      <c r="F201" s="142"/>
      <c r="G201" s="143"/>
      <c r="H201" s="143"/>
      <c r="I201" s="144"/>
      <c r="J201" s="144"/>
      <c r="K201" s="145"/>
      <c r="L201" s="146"/>
      <c r="M201" s="147"/>
      <c r="N201" s="146"/>
      <c r="O201" s="144"/>
      <c r="P201" s="144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  <c r="AJ201" s="142"/>
    </row>
    <row r="202" ht="13.5" customHeight="1">
      <c r="A202" s="142"/>
      <c r="B202" s="142"/>
      <c r="C202" s="142"/>
      <c r="D202" s="142"/>
      <c r="E202" s="142"/>
      <c r="F202" s="142"/>
      <c r="G202" s="143"/>
      <c r="H202" s="143"/>
      <c r="I202" s="144"/>
      <c r="J202" s="144"/>
      <c r="K202" s="145"/>
      <c r="L202" s="146"/>
      <c r="M202" s="147"/>
      <c r="N202" s="146"/>
      <c r="O202" s="144"/>
      <c r="P202" s="144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  <c r="AJ202" s="142"/>
    </row>
    <row r="203" ht="13.5" customHeight="1">
      <c r="A203" s="142"/>
      <c r="B203" s="142"/>
      <c r="C203" s="142"/>
      <c r="D203" s="142"/>
      <c r="E203" s="142"/>
      <c r="F203" s="142"/>
      <c r="G203" s="143"/>
      <c r="H203" s="143"/>
      <c r="I203" s="144"/>
      <c r="J203" s="144"/>
      <c r="K203" s="145"/>
      <c r="L203" s="146"/>
      <c r="M203" s="147"/>
      <c r="N203" s="146"/>
      <c r="O203" s="144"/>
      <c r="P203" s="144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142"/>
    </row>
    <row r="204" ht="13.5" customHeight="1">
      <c r="A204" s="142"/>
      <c r="B204" s="142"/>
      <c r="C204" s="142"/>
      <c r="D204" s="142"/>
      <c r="E204" s="142"/>
      <c r="F204" s="142"/>
      <c r="G204" s="143"/>
      <c r="H204" s="143"/>
      <c r="I204" s="144"/>
      <c r="J204" s="144"/>
      <c r="K204" s="145"/>
      <c r="L204" s="146"/>
      <c r="M204" s="147"/>
      <c r="N204" s="146"/>
      <c r="O204" s="144"/>
      <c r="P204" s="144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2"/>
      <c r="AI204" s="142"/>
      <c r="AJ204" s="142"/>
    </row>
    <row r="205" ht="13.5" customHeight="1">
      <c r="A205" s="142"/>
      <c r="B205" s="142"/>
      <c r="C205" s="142"/>
      <c r="D205" s="142"/>
      <c r="E205" s="142"/>
      <c r="F205" s="142"/>
      <c r="G205" s="143"/>
      <c r="H205" s="143"/>
      <c r="I205" s="144"/>
      <c r="J205" s="144"/>
      <c r="K205" s="145"/>
      <c r="L205" s="146"/>
      <c r="M205" s="147"/>
      <c r="N205" s="146"/>
      <c r="O205" s="144"/>
      <c r="P205" s="144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  <c r="AJ205" s="142"/>
    </row>
    <row r="206" ht="13.5" customHeight="1">
      <c r="A206" s="142"/>
      <c r="B206" s="142"/>
      <c r="C206" s="142"/>
      <c r="D206" s="142"/>
      <c r="E206" s="142"/>
      <c r="F206" s="142"/>
      <c r="G206" s="143"/>
      <c r="H206" s="143"/>
      <c r="I206" s="144"/>
      <c r="J206" s="144"/>
      <c r="K206" s="145"/>
      <c r="L206" s="146"/>
      <c r="M206" s="147"/>
      <c r="N206" s="146"/>
      <c r="O206" s="144"/>
      <c r="P206" s="144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2"/>
      <c r="AI206" s="142"/>
      <c r="AJ206" s="142"/>
    </row>
    <row r="207" ht="13.5" customHeight="1">
      <c r="A207" s="142"/>
      <c r="B207" s="142"/>
      <c r="C207" s="142"/>
      <c r="D207" s="142"/>
      <c r="E207" s="142"/>
      <c r="F207" s="142"/>
      <c r="G207" s="143"/>
      <c r="H207" s="143"/>
      <c r="I207" s="144"/>
      <c r="J207" s="144"/>
      <c r="K207" s="145"/>
      <c r="L207" s="146"/>
      <c r="M207" s="147"/>
      <c r="N207" s="146"/>
      <c r="O207" s="144"/>
      <c r="P207" s="144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2"/>
      <c r="AI207" s="142"/>
      <c r="AJ207" s="142"/>
    </row>
    <row r="208" ht="13.5" customHeight="1">
      <c r="A208" s="142"/>
      <c r="B208" s="142"/>
      <c r="C208" s="142"/>
      <c r="D208" s="142"/>
      <c r="E208" s="142"/>
      <c r="F208" s="142"/>
      <c r="G208" s="143"/>
      <c r="H208" s="143"/>
      <c r="I208" s="144"/>
      <c r="J208" s="144"/>
      <c r="K208" s="145"/>
      <c r="L208" s="146"/>
      <c r="M208" s="147"/>
      <c r="N208" s="146"/>
      <c r="O208" s="144"/>
      <c r="P208" s="144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  <c r="AJ208" s="142"/>
    </row>
    <row r="209" ht="13.5" customHeight="1">
      <c r="A209" s="142"/>
      <c r="B209" s="142"/>
      <c r="C209" s="142"/>
      <c r="D209" s="142"/>
      <c r="E209" s="142"/>
      <c r="F209" s="142"/>
      <c r="G209" s="143"/>
      <c r="H209" s="143"/>
      <c r="I209" s="144"/>
      <c r="J209" s="144"/>
      <c r="K209" s="145"/>
      <c r="L209" s="146"/>
      <c r="M209" s="147"/>
      <c r="N209" s="146"/>
      <c r="O209" s="144"/>
      <c r="P209" s="144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2"/>
      <c r="AI209" s="142"/>
      <c r="AJ209" s="142"/>
    </row>
    <row r="210" ht="13.5" customHeight="1">
      <c r="A210" s="142"/>
      <c r="B210" s="142"/>
      <c r="C210" s="142"/>
      <c r="D210" s="142"/>
      <c r="E210" s="142"/>
      <c r="F210" s="142"/>
      <c r="G210" s="143"/>
      <c r="H210" s="143"/>
      <c r="I210" s="144"/>
      <c r="J210" s="144"/>
      <c r="K210" s="145"/>
      <c r="L210" s="146"/>
      <c r="M210" s="147"/>
      <c r="N210" s="146"/>
      <c r="O210" s="144"/>
      <c r="P210" s="144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2"/>
      <c r="AI210" s="142"/>
      <c r="AJ210" s="142"/>
    </row>
    <row r="211" ht="13.5" customHeight="1">
      <c r="A211" s="142"/>
      <c r="B211" s="142"/>
      <c r="C211" s="142"/>
      <c r="D211" s="142"/>
      <c r="E211" s="142"/>
      <c r="F211" s="142"/>
      <c r="G211" s="143"/>
      <c r="H211" s="143"/>
      <c r="I211" s="144"/>
      <c r="J211" s="144"/>
      <c r="K211" s="145"/>
      <c r="L211" s="146"/>
      <c r="M211" s="147"/>
      <c r="N211" s="146"/>
      <c r="O211" s="144"/>
      <c r="P211" s="144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  <c r="AF211" s="142"/>
      <c r="AG211" s="142"/>
      <c r="AH211" s="142"/>
      <c r="AI211" s="142"/>
      <c r="AJ211" s="142"/>
    </row>
    <row r="212" ht="13.5" customHeight="1">
      <c r="A212" s="142"/>
      <c r="B212" s="142"/>
      <c r="C212" s="142"/>
      <c r="D212" s="142"/>
      <c r="E212" s="142"/>
      <c r="F212" s="142"/>
      <c r="G212" s="143"/>
      <c r="H212" s="143"/>
      <c r="I212" s="144"/>
      <c r="J212" s="144"/>
      <c r="K212" s="145"/>
      <c r="L212" s="146"/>
      <c r="M212" s="147"/>
      <c r="N212" s="146"/>
      <c r="O212" s="144"/>
      <c r="P212" s="144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  <c r="AF212" s="142"/>
      <c r="AG212" s="142"/>
      <c r="AH212" s="142"/>
      <c r="AI212" s="142"/>
      <c r="AJ212" s="142"/>
    </row>
    <row r="213" ht="13.5" customHeight="1">
      <c r="A213" s="142"/>
      <c r="B213" s="142"/>
      <c r="C213" s="142"/>
      <c r="D213" s="142"/>
      <c r="E213" s="142"/>
      <c r="F213" s="142"/>
      <c r="G213" s="143"/>
      <c r="H213" s="143"/>
      <c r="I213" s="144"/>
      <c r="J213" s="144"/>
      <c r="K213" s="145"/>
      <c r="L213" s="146"/>
      <c r="M213" s="147"/>
      <c r="N213" s="146"/>
      <c r="O213" s="144"/>
      <c r="P213" s="144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  <c r="AF213" s="142"/>
      <c r="AG213" s="142"/>
      <c r="AH213" s="142"/>
      <c r="AI213" s="142"/>
      <c r="AJ213" s="142"/>
    </row>
    <row r="214" ht="13.5" customHeight="1">
      <c r="A214" s="142"/>
      <c r="B214" s="142"/>
      <c r="C214" s="142"/>
      <c r="D214" s="142"/>
      <c r="E214" s="142"/>
      <c r="F214" s="142"/>
      <c r="G214" s="143"/>
      <c r="H214" s="143"/>
      <c r="I214" s="144"/>
      <c r="J214" s="144"/>
      <c r="K214" s="145"/>
      <c r="L214" s="146"/>
      <c r="M214" s="147"/>
      <c r="N214" s="146"/>
      <c r="O214" s="144"/>
      <c r="P214" s="144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42"/>
      <c r="AG214" s="142"/>
      <c r="AH214" s="142"/>
      <c r="AI214" s="142"/>
      <c r="AJ214" s="142"/>
    </row>
    <row r="215" ht="13.5" customHeight="1">
      <c r="A215" s="142"/>
      <c r="B215" s="142"/>
      <c r="C215" s="142"/>
      <c r="D215" s="142"/>
      <c r="E215" s="142"/>
      <c r="F215" s="142"/>
      <c r="G215" s="143"/>
      <c r="H215" s="143"/>
      <c r="I215" s="144"/>
      <c r="J215" s="144"/>
      <c r="K215" s="145"/>
      <c r="L215" s="146"/>
      <c r="M215" s="147"/>
      <c r="N215" s="146"/>
      <c r="O215" s="144"/>
      <c r="P215" s="144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  <c r="AF215" s="142"/>
      <c r="AG215" s="142"/>
      <c r="AH215" s="142"/>
      <c r="AI215" s="142"/>
      <c r="AJ215" s="142"/>
    </row>
    <row r="216" ht="13.5" customHeight="1">
      <c r="A216" s="142"/>
      <c r="B216" s="142"/>
      <c r="C216" s="142"/>
      <c r="D216" s="142"/>
      <c r="E216" s="142"/>
      <c r="F216" s="142"/>
      <c r="G216" s="143"/>
      <c r="H216" s="143"/>
      <c r="I216" s="144"/>
      <c r="J216" s="144"/>
      <c r="K216" s="145"/>
      <c r="L216" s="146"/>
      <c r="M216" s="147"/>
      <c r="N216" s="146"/>
      <c r="O216" s="144"/>
      <c r="P216" s="144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  <c r="AF216" s="142"/>
      <c r="AG216" s="142"/>
      <c r="AH216" s="142"/>
      <c r="AI216" s="142"/>
      <c r="AJ216" s="142"/>
    </row>
    <row r="217" ht="13.5" customHeight="1">
      <c r="A217" s="142"/>
      <c r="B217" s="142"/>
      <c r="C217" s="142"/>
      <c r="D217" s="142"/>
      <c r="E217" s="142"/>
      <c r="F217" s="142"/>
      <c r="G217" s="143"/>
      <c r="H217" s="143"/>
      <c r="I217" s="144"/>
      <c r="J217" s="144"/>
      <c r="K217" s="145"/>
      <c r="L217" s="146"/>
      <c r="M217" s="147"/>
      <c r="N217" s="146"/>
      <c r="O217" s="144"/>
      <c r="P217" s="144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42"/>
      <c r="AG217" s="142"/>
      <c r="AH217" s="142"/>
      <c r="AI217" s="142"/>
      <c r="AJ217" s="142"/>
    </row>
    <row r="218" ht="13.5" customHeight="1">
      <c r="A218" s="142"/>
      <c r="B218" s="142"/>
      <c r="C218" s="142"/>
      <c r="D218" s="142"/>
      <c r="E218" s="142"/>
      <c r="F218" s="142"/>
      <c r="G218" s="143"/>
      <c r="H218" s="143"/>
      <c r="I218" s="144"/>
      <c r="J218" s="144"/>
      <c r="K218" s="145"/>
      <c r="L218" s="146"/>
      <c r="M218" s="147"/>
      <c r="N218" s="146"/>
      <c r="O218" s="144"/>
      <c r="P218" s="144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42"/>
      <c r="AG218" s="142"/>
      <c r="AH218" s="142"/>
      <c r="AI218" s="142"/>
      <c r="AJ218" s="142"/>
    </row>
    <row r="219" ht="13.5" customHeight="1">
      <c r="A219" s="142"/>
      <c r="B219" s="142"/>
      <c r="C219" s="142"/>
      <c r="D219" s="142"/>
      <c r="E219" s="142"/>
      <c r="F219" s="142"/>
      <c r="G219" s="143"/>
      <c r="H219" s="143"/>
      <c r="I219" s="144"/>
      <c r="J219" s="144"/>
      <c r="K219" s="145"/>
      <c r="L219" s="146"/>
      <c r="M219" s="147"/>
      <c r="N219" s="146"/>
      <c r="O219" s="144"/>
      <c r="P219" s="144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  <c r="AF219" s="142"/>
      <c r="AG219" s="142"/>
      <c r="AH219" s="142"/>
      <c r="AI219" s="142"/>
      <c r="AJ219" s="142"/>
    </row>
    <row r="220" ht="13.5" customHeight="1">
      <c r="A220" s="142"/>
      <c r="B220" s="142"/>
      <c r="C220" s="142"/>
      <c r="D220" s="142"/>
      <c r="E220" s="142"/>
      <c r="F220" s="142"/>
      <c r="G220" s="143"/>
      <c r="H220" s="143"/>
      <c r="I220" s="144"/>
      <c r="J220" s="144"/>
      <c r="K220" s="145"/>
      <c r="L220" s="146"/>
      <c r="M220" s="147"/>
      <c r="N220" s="146"/>
      <c r="O220" s="144"/>
      <c r="P220" s="144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  <c r="AF220" s="142"/>
      <c r="AG220" s="142"/>
      <c r="AH220" s="142"/>
      <c r="AI220" s="142"/>
      <c r="AJ220" s="142"/>
    </row>
    <row r="221" ht="13.5" customHeight="1">
      <c r="A221" s="142"/>
      <c r="B221" s="142"/>
      <c r="C221" s="142"/>
      <c r="D221" s="142"/>
      <c r="E221" s="142"/>
      <c r="F221" s="142"/>
      <c r="G221" s="143"/>
      <c r="H221" s="143"/>
      <c r="I221" s="144"/>
      <c r="J221" s="144"/>
      <c r="K221" s="145"/>
      <c r="L221" s="146"/>
      <c r="M221" s="147"/>
      <c r="N221" s="146"/>
      <c r="O221" s="144"/>
      <c r="P221" s="144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  <c r="AF221" s="142"/>
      <c r="AG221" s="142"/>
      <c r="AH221" s="142"/>
      <c r="AI221" s="142"/>
      <c r="AJ221" s="142"/>
    </row>
    <row r="222" ht="13.5" customHeight="1">
      <c r="A222" s="142"/>
      <c r="B222" s="142"/>
      <c r="C222" s="142"/>
      <c r="D222" s="142"/>
      <c r="E222" s="142"/>
      <c r="F222" s="142"/>
      <c r="G222" s="143"/>
      <c r="H222" s="143"/>
      <c r="I222" s="144"/>
      <c r="J222" s="144"/>
      <c r="K222" s="145"/>
      <c r="L222" s="146"/>
      <c r="M222" s="147"/>
      <c r="N222" s="146"/>
      <c r="O222" s="144"/>
      <c r="P222" s="144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42"/>
      <c r="AG222" s="142"/>
      <c r="AH222" s="142"/>
      <c r="AI222" s="142"/>
      <c r="AJ222" s="142"/>
    </row>
    <row r="223" ht="13.5" customHeight="1">
      <c r="A223" s="142"/>
      <c r="B223" s="142"/>
      <c r="C223" s="142"/>
      <c r="D223" s="142"/>
      <c r="E223" s="142"/>
      <c r="F223" s="142"/>
      <c r="G223" s="143"/>
      <c r="H223" s="143"/>
      <c r="I223" s="144"/>
      <c r="J223" s="144"/>
      <c r="K223" s="145"/>
      <c r="L223" s="146"/>
      <c r="M223" s="147"/>
      <c r="N223" s="146"/>
      <c r="O223" s="144"/>
      <c r="P223" s="144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  <c r="AF223" s="142"/>
      <c r="AG223" s="142"/>
      <c r="AH223" s="142"/>
      <c r="AI223" s="142"/>
      <c r="AJ223" s="142"/>
    </row>
    <row r="224" ht="13.5" customHeight="1">
      <c r="A224" s="142"/>
      <c r="B224" s="142"/>
      <c r="C224" s="142"/>
      <c r="D224" s="142"/>
      <c r="E224" s="142"/>
      <c r="F224" s="142"/>
      <c r="G224" s="143"/>
      <c r="H224" s="143"/>
      <c r="I224" s="144"/>
      <c r="J224" s="144"/>
      <c r="K224" s="145"/>
      <c r="L224" s="146"/>
      <c r="M224" s="147"/>
      <c r="N224" s="146"/>
      <c r="O224" s="144"/>
      <c r="P224" s="144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  <c r="AF224" s="142"/>
      <c r="AG224" s="142"/>
      <c r="AH224" s="142"/>
      <c r="AI224" s="142"/>
      <c r="AJ224" s="142"/>
    </row>
    <row r="225" ht="13.5" customHeight="1">
      <c r="A225" s="142"/>
      <c r="B225" s="142"/>
      <c r="C225" s="142"/>
      <c r="D225" s="142"/>
      <c r="E225" s="142"/>
      <c r="F225" s="142"/>
      <c r="G225" s="143"/>
      <c r="H225" s="143"/>
      <c r="I225" s="144"/>
      <c r="J225" s="144"/>
      <c r="K225" s="145"/>
      <c r="L225" s="146"/>
      <c r="M225" s="147"/>
      <c r="N225" s="146"/>
      <c r="O225" s="144"/>
      <c r="P225" s="144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  <c r="AF225" s="142"/>
      <c r="AG225" s="142"/>
      <c r="AH225" s="142"/>
      <c r="AI225" s="142"/>
      <c r="AJ225" s="142"/>
    </row>
    <row r="226" ht="13.5" customHeight="1">
      <c r="A226" s="142"/>
      <c r="B226" s="142"/>
      <c r="C226" s="142"/>
      <c r="D226" s="142"/>
      <c r="E226" s="142"/>
      <c r="F226" s="142"/>
      <c r="G226" s="143"/>
      <c r="H226" s="143"/>
      <c r="I226" s="144"/>
      <c r="J226" s="144"/>
      <c r="K226" s="145"/>
      <c r="L226" s="146"/>
      <c r="M226" s="147"/>
      <c r="N226" s="146"/>
      <c r="O226" s="144"/>
      <c r="P226" s="144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142"/>
      <c r="AJ226" s="142"/>
    </row>
    <row r="227" ht="13.5" customHeight="1">
      <c r="A227" s="142"/>
      <c r="B227" s="142"/>
      <c r="C227" s="142"/>
      <c r="D227" s="142"/>
      <c r="E227" s="142"/>
      <c r="F227" s="142"/>
      <c r="G227" s="143"/>
      <c r="H227" s="143"/>
      <c r="I227" s="144"/>
      <c r="J227" s="144"/>
      <c r="K227" s="145"/>
      <c r="L227" s="146"/>
      <c r="M227" s="147"/>
      <c r="N227" s="146"/>
      <c r="O227" s="144"/>
      <c r="P227" s="144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  <c r="AE227" s="142"/>
      <c r="AF227" s="142"/>
      <c r="AG227" s="142"/>
      <c r="AH227" s="142"/>
      <c r="AI227" s="142"/>
      <c r="AJ227" s="14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4:C5"/>
    <mergeCell ref="D4:E4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I2:J2"/>
    <mergeCell ref="K2:L2"/>
    <mergeCell ref="M2:N2"/>
    <mergeCell ref="O2:P2"/>
    <mergeCell ref="I3:L3"/>
    <mergeCell ref="M3:P3"/>
    <mergeCell ref="B4:B5"/>
    <mergeCell ref="P4:P5"/>
  </mergeCells>
  <dataValidations>
    <dataValidation type="list" allowBlank="1" showErrorMessage="1" sqref="M8 M13 M20 M25 M28">
      <formula1>"미착수,착수,수행,PL확인,PM확인,완료"</formula1>
    </dataValidation>
    <dataValidation type="list" allowBlank="1" showErrorMessage="1" sqref="M9:M12 M14:M15 M18:M19 M21:M23 M26:M27">
      <formula1>"미착수,착수,수행1단계,수행2단계,테스트,PL확인,PM확인,완료"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5.14"/>
    <col customWidth="1" min="3" max="3" width="8.71"/>
    <col customWidth="1" min="4" max="4" width="16.0"/>
    <col customWidth="1" min="5" max="5" width="49.86"/>
    <col customWidth="1" min="6" max="6" width="38.86"/>
    <col customWidth="1" min="7" max="7" width="13.57"/>
    <col customWidth="1" min="8" max="8" width="7.86"/>
    <col customWidth="1" min="9" max="10" width="12.57"/>
    <col customWidth="1" min="11" max="11" width="8.57"/>
    <col customWidth="1" min="12" max="12" width="9.14"/>
    <col customWidth="1" min="13" max="13" width="11.57"/>
    <col customWidth="1" min="14" max="14" width="9.0"/>
    <col customWidth="1" min="15" max="16" width="11.29"/>
    <col customWidth="1" min="17" max="36" width="9.0"/>
  </cols>
  <sheetData>
    <row r="1" ht="13.5" customHeight="1">
      <c r="A1" s="142"/>
      <c r="B1" s="142"/>
      <c r="C1" s="142"/>
      <c r="D1" s="142"/>
      <c r="E1" s="142"/>
      <c r="F1" s="142"/>
      <c r="G1" s="143"/>
      <c r="H1" s="143"/>
      <c r="I1" s="144"/>
      <c r="J1" s="144"/>
      <c r="K1" s="145"/>
      <c r="L1" s="146"/>
      <c r="M1" s="147"/>
      <c r="N1" s="146"/>
      <c r="O1" s="144"/>
      <c r="P1" s="144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</row>
    <row r="2" ht="15.0" customHeight="1">
      <c r="A2" s="148"/>
      <c r="B2" s="149" t="s">
        <v>317</v>
      </c>
      <c r="C2" s="148"/>
      <c r="D2" s="148"/>
      <c r="E2" s="148"/>
      <c r="F2" s="148"/>
      <c r="G2" s="150"/>
      <c r="H2" s="150"/>
      <c r="I2" s="151" t="s">
        <v>136</v>
      </c>
      <c r="J2" s="79"/>
      <c r="K2" s="152">
        <f>(SUM(L8:L16)+SUM(L18:L62))/(COUNT(L8:L16)+COUNT(L18:L62))</f>
        <v>0.5761330049</v>
      </c>
      <c r="L2" s="79"/>
      <c r="M2" s="153" t="s">
        <v>137</v>
      </c>
      <c r="N2" s="79"/>
      <c r="O2" s="152">
        <f>(SUM(N8:N16)+SUM(N18:N62))/(COUNT(N8:N16)+COUNT(N18:N62))</f>
        <v>0.5475</v>
      </c>
      <c r="P2" s="79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</row>
    <row r="3" ht="15.0" customHeight="1">
      <c r="A3" s="148"/>
      <c r="B3" s="150"/>
      <c r="C3" s="39"/>
      <c r="D3" s="39"/>
      <c r="E3" s="39"/>
      <c r="F3" s="148"/>
      <c r="G3" s="150"/>
      <c r="H3" s="150"/>
      <c r="I3" s="155" t="s">
        <v>138</v>
      </c>
      <c r="J3" s="156"/>
      <c r="K3" s="156"/>
      <c r="L3" s="157"/>
      <c r="M3" s="158" t="s">
        <v>139</v>
      </c>
      <c r="N3" s="156"/>
      <c r="O3" s="156"/>
      <c r="P3" s="159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</row>
    <row r="4" ht="20.25" customHeight="1">
      <c r="A4" s="160"/>
      <c r="B4" s="161" t="s">
        <v>117</v>
      </c>
      <c r="C4" s="162" t="s">
        <v>140</v>
      </c>
      <c r="D4" s="163" t="s">
        <v>293</v>
      </c>
      <c r="E4" s="79"/>
      <c r="F4" s="162" t="s">
        <v>142</v>
      </c>
      <c r="G4" s="162" t="s">
        <v>143</v>
      </c>
      <c r="H4" s="162" t="s">
        <v>118</v>
      </c>
      <c r="I4" s="247" t="s">
        <v>144</v>
      </c>
      <c r="J4" s="165" t="s">
        <v>145</v>
      </c>
      <c r="K4" s="165" t="s">
        <v>146</v>
      </c>
      <c r="L4" s="166" t="s">
        <v>149</v>
      </c>
      <c r="M4" s="167" t="s">
        <v>148</v>
      </c>
      <c r="N4" s="167" t="s">
        <v>123</v>
      </c>
      <c r="O4" s="167" t="s">
        <v>150</v>
      </c>
      <c r="P4" s="168" t="s">
        <v>151</v>
      </c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</row>
    <row r="5" ht="20.25" customHeight="1">
      <c r="A5" s="160"/>
      <c r="B5" s="169"/>
      <c r="C5" s="28"/>
      <c r="D5" s="170" t="s">
        <v>152</v>
      </c>
      <c r="E5" s="170" t="s">
        <v>153</v>
      </c>
      <c r="F5" s="28"/>
      <c r="G5" s="28"/>
      <c r="H5" s="28"/>
      <c r="I5" s="248"/>
      <c r="J5" s="28"/>
      <c r="K5" s="28"/>
      <c r="L5" s="28"/>
      <c r="M5" s="28"/>
      <c r="N5" s="28"/>
      <c r="O5" s="28"/>
      <c r="P5" s="171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</row>
    <row r="6" ht="13.5" customHeight="1">
      <c r="A6" s="172"/>
      <c r="B6" s="173" t="s">
        <v>318</v>
      </c>
      <c r="C6" s="174"/>
      <c r="D6" s="174"/>
      <c r="E6" s="174"/>
      <c r="F6" s="174"/>
      <c r="G6" s="175"/>
      <c r="H6" s="249">
        <f>'진척율보고서'!H13</f>
        <v>30</v>
      </c>
      <c r="I6" s="250"/>
      <c r="J6" s="178"/>
      <c r="K6" s="179" t="str">
        <f t="shared" ref="K6:K7" si="1">IF(OR(ISBLANK($I6), ISBLANK($J6)),"",NETWORKDAYS($I6,$J6))</f>
        <v/>
      </c>
      <c r="L6" s="180">
        <f>K2*H6/100</f>
        <v>0.1728399015</v>
      </c>
      <c r="M6" s="181"/>
      <c r="N6" s="182">
        <f>O2*H6/100</f>
        <v>0.16425</v>
      </c>
      <c r="O6" s="178"/>
      <c r="P6" s="183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</row>
    <row r="7" ht="13.5" customHeight="1">
      <c r="A7" s="142"/>
      <c r="B7" s="184"/>
      <c r="C7" s="185" t="s">
        <v>319</v>
      </c>
      <c r="D7" s="186"/>
      <c r="E7" s="186"/>
      <c r="F7" s="186"/>
      <c r="G7" s="187"/>
      <c r="H7" s="221"/>
      <c r="I7" s="222">
        <f>MIN(I8:I16)</f>
        <v>46048</v>
      </c>
      <c r="J7" s="189">
        <f>MAX(J8:J16)</f>
        <v>46080</v>
      </c>
      <c r="K7" s="190">
        <f t="shared" si="1"/>
        <v>25</v>
      </c>
      <c r="L7" s="191">
        <f>SUM(L8:L16)/COUNT(L8:L16)</f>
        <v>1</v>
      </c>
      <c r="M7" s="192"/>
      <c r="N7" s="193">
        <f>SUM(N8:N16)/COUNT(N8:N16)</f>
        <v>1</v>
      </c>
      <c r="O7" s="189"/>
      <c r="P7" s="194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ht="13.5" customHeight="1">
      <c r="A8" s="142"/>
      <c r="B8" s="184"/>
      <c r="C8" s="196"/>
      <c r="D8" s="197" t="s">
        <v>320</v>
      </c>
      <c r="E8" s="197"/>
      <c r="F8" s="197"/>
      <c r="G8" s="198"/>
      <c r="H8" s="223"/>
      <c r="I8" s="224"/>
      <c r="J8" s="200"/>
      <c r="K8" s="201"/>
      <c r="L8" s="202"/>
      <c r="M8" s="203"/>
      <c r="N8" s="204"/>
      <c r="O8" s="224"/>
      <c r="P8" s="205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</row>
    <row r="9" ht="13.5" customHeight="1">
      <c r="A9" s="142"/>
      <c r="B9" s="184"/>
      <c r="C9" s="196"/>
      <c r="D9" s="196"/>
      <c r="E9" s="196" t="s">
        <v>297</v>
      </c>
      <c r="F9" s="196"/>
      <c r="G9" s="267"/>
      <c r="H9" s="251"/>
      <c r="I9" s="215">
        <v>46048.0</v>
      </c>
      <c r="J9" s="210">
        <v>46050.0</v>
      </c>
      <c r="K9" s="211">
        <f t="shared" ref="K9:K12" si="2">IF(OR(ISBLANK($I9), ISBLANK($J9)),"",NETWORKDAYS($I9,$J9))</f>
        <v>3</v>
      </c>
      <c r="L9" s="212">
        <f>IF(OR(ISBLANK($I9), ISBLANK($J9)), "", IF('진척율보고서'!$M$4 &lt; $I9, 0, IF('진척율보고서'!$M$4 &gt;= $J9, 1, NETWORKDAYS($I9,'진척율보고서'!$M$4)/$K9)))</f>
        <v>1</v>
      </c>
      <c r="M9" s="213" t="s">
        <v>158</v>
      </c>
      <c r="N9" s="214">
        <f t="shared" ref="N9:N12" si="3">IF($M9="완료",1,IF($M9="PM확인",0.95,IF($M9="PL확인",0.8,IF($M9="테스트",0.7,IF($M9="수행2단계",0.55,IF($M9="수행1단계",0.35,IF($M9="착수",0.2,IF($M9="미착수",0,""))))))))</f>
        <v>1</v>
      </c>
      <c r="O9" s="215">
        <v>46048.0</v>
      </c>
      <c r="P9" s="232">
        <v>46050.0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ht="13.5" customHeight="1">
      <c r="A10" s="142"/>
      <c r="B10" s="184"/>
      <c r="C10" s="196"/>
      <c r="D10" s="196"/>
      <c r="E10" s="196" t="s">
        <v>320</v>
      </c>
      <c r="F10" s="196"/>
      <c r="G10" s="267"/>
      <c r="H10" s="251"/>
      <c r="I10" s="215">
        <v>46048.0</v>
      </c>
      <c r="J10" s="210">
        <v>46052.0</v>
      </c>
      <c r="K10" s="211">
        <f t="shared" si="2"/>
        <v>5</v>
      </c>
      <c r="L10" s="212">
        <f>IF(OR(ISBLANK($I10), ISBLANK($J10)), "", IF('진척율보고서'!$M$4 &lt; $I10, 0, IF('진척율보고서'!$M$4 &gt;= $J10, 1, NETWORKDAYS($I10,'진척율보고서'!$M$4)/$K10)))</f>
        <v>1</v>
      </c>
      <c r="M10" s="213" t="s">
        <v>158</v>
      </c>
      <c r="N10" s="214">
        <f t="shared" si="3"/>
        <v>1</v>
      </c>
      <c r="O10" s="215">
        <v>46048.0</v>
      </c>
      <c r="P10" s="232">
        <v>46052.0</v>
      </c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ht="13.5" customHeight="1">
      <c r="A11" s="142"/>
      <c r="B11" s="184"/>
      <c r="C11" s="196"/>
      <c r="D11" s="196"/>
      <c r="E11" s="196" t="s">
        <v>321</v>
      </c>
      <c r="F11" s="196"/>
      <c r="G11" s="267"/>
      <c r="H11" s="251"/>
      <c r="I11" s="215">
        <v>46048.0</v>
      </c>
      <c r="J11" s="210">
        <v>46052.0</v>
      </c>
      <c r="K11" s="211">
        <f t="shared" si="2"/>
        <v>5</v>
      </c>
      <c r="L11" s="212">
        <f>IF(OR(ISBLANK($I11), ISBLANK($J11)), "", IF('진척율보고서'!$M$4 &lt; $I11, 0, IF('진척율보고서'!$M$4 &gt;= $J11, 1, NETWORKDAYS($I11,'진척율보고서'!$M$4)/$K11)))</f>
        <v>1</v>
      </c>
      <c r="M11" s="213" t="s">
        <v>158</v>
      </c>
      <c r="N11" s="214">
        <f t="shared" si="3"/>
        <v>1</v>
      </c>
      <c r="O11" s="215">
        <v>46048.0</v>
      </c>
      <c r="P11" s="232">
        <v>46052.0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</row>
    <row r="12" ht="13.5" customHeight="1">
      <c r="A12" s="142"/>
      <c r="B12" s="184"/>
      <c r="C12" s="196"/>
      <c r="D12" s="196"/>
      <c r="E12" s="196" t="s">
        <v>322</v>
      </c>
      <c r="F12" s="196"/>
      <c r="G12" s="267"/>
      <c r="H12" s="251"/>
      <c r="I12" s="215">
        <v>46048.0</v>
      </c>
      <c r="J12" s="210">
        <v>46052.0</v>
      </c>
      <c r="K12" s="211">
        <f t="shared" si="2"/>
        <v>5</v>
      </c>
      <c r="L12" s="212">
        <f>IF(OR(ISBLANK($I12), ISBLANK($J12)), "", IF('진척율보고서'!$M$4 &lt; $I12, 0, IF('진척율보고서'!$M$4 &gt;= $J12, 1, NETWORKDAYS($I12,'진척율보고서'!$M$4)/$K12)))</f>
        <v>1</v>
      </c>
      <c r="M12" s="213" t="s">
        <v>158</v>
      </c>
      <c r="N12" s="214">
        <f t="shared" si="3"/>
        <v>1</v>
      </c>
      <c r="O12" s="215">
        <v>46048.0</v>
      </c>
      <c r="P12" s="232">
        <v>46052.0</v>
      </c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</row>
    <row r="13" ht="13.5" customHeight="1">
      <c r="A13" s="142"/>
      <c r="B13" s="184"/>
      <c r="C13" s="196"/>
      <c r="D13" s="197" t="s">
        <v>323</v>
      </c>
      <c r="E13" s="197"/>
      <c r="F13" s="197"/>
      <c r="G13" s="198"/>
      <c r="H13" s="223"/>
      <c r="I13" s="224"/>
      <c r="J13" s="200"/>
      <c r="K13" s="201"/>
      <c r="L13" s="202"/>
      <c r="M13" s="203"/>
      <c r="N13" s="204"/>
      <c r="O13" s="200"/>
      <c r="P13" s="205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</row>
    <row r="14" ht="14.25" customHeight="1">
      <c r="A14" s="142"/>
      <c r="B14" s="184"/>
      <c r="C14" s="196"/>
      <c r="D14" s="196"/>
      <c r="E14" s="196" t="s">
        <v>324</v>
      </c>
      <c r="F14" s="196" t="s">
        <v>178</v>
      </c>
      <c r="G14" s="217" t="s">
        <v>232</v>
      </c>
      <c r="H14" s="225"/>
      <c r="I14" s="219">
        <v>46055.0</v>
      </c>
      <c r="J14" s="219">
        <v>46059.0</v>
      </c>
      <c r="K14" s="211">
        <f t="shared" ref="K14:K17" si="4">IF(OR(ISBLANK($I14), ISBLANK($J14)),"",NETWORKDAYS($I14,$J14))</f>
        <v>5</v>
      </c>
      <c r="L14" s="212">
        <f>IF(OR(ISBLANK($I14), ISBLANK($J14)), "", IF('진척율보고서'!$M$4 &lt; $I14, 0, IF('진척율보고서'!$M$4 &gt;= $J14, 1, NETWORKDAYS($I14,'진척율보고서'!$M$4)/$K14)))</f>
        <v>1</v>
      </c>
      <c r="M14" s="213" t="s">
        <v>158</v>
      </c>
      <c r="N14" s="214">
        <f t="shared" ref="N14:N16" si="5">IF($M14="완료",1,IF($M14="PM확인",0.95,IF($M14="PL확인",0.8,IF($M14="테스트",0.7,IF($M14="수행2단계",0.55,IF($M14="수행1단계",0.35,IF($M14="착수",0.2,IF($M14="미착수",0,""))))))))</f>
        <v>1</v>
      </c>
      <c r="O14" s="219">
        <v>46055.0</v>
      </c>
      <c r="P14" s="226">
        <v>46059.0</v>
      </c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</row>
    <row r="15" ht="13.5" customHeight="1">
      <c r="A15" s="142"/>
      <c r="B15" s="184"/>
      <c r="C15" s="196"/>
      <c r="D15" s="196"/>
      <c r="E15" s="196" t="s">
        <v>325</v>
      </c>
      <c r="F15" s="196" t="s">
        <v>178</v>
      </c>
      <c r="G15" s="217" t="s">
        <v>232</v>
      </c>
      <c r="H15" s="251"/>
      <c r="I15" s="219">
        <v>46062.0</v>
      </c>
      <c r="J15" s="219">
        <v>46066.0</v>
      </c>
      <c r="K15" s="211">
        <f t="shared" si="4"/>
        <v>5</v>
      </c>
      <c r="L15" s="212">
        <f>IF(OR(ISBLANK($I15), ISBLANK($J15)), "", IF('진척율보고서'!$M$4 &lt; $I15, 0, IF('진척율보고서'!$M$4 &gt;= $J15, 1, NETWORKDAYS($I15,'진척율보고서'!$M$4)/$K15)))</f>
        <v>1</v>
      </c>
      <c r="M15" s="213" t="s">
        <v>158</v>
      </c>
      <c r="N15" s="214">
        <f t="shared" si="5"/>
        <v>1</v>
      </c>
      <c r="O15" s="219">
        <v>46062.0</v>
      </c>
      <c r="P15" s="216">
        <v>46066.0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ht="13.5" customHeight="1">
      <c r="A16" s="142"/>
      <c r="B16" s="184"/>
      <c r="C16" s="196"/>
      <c r="D16" s="196"/>
      <c r="E16" s="196" t="s">
        <v>326</v>
      </c>
      <c r="F16" s="196" t="s">
        <v>178</v>
      </c>
      <c r="G16" s="217" t="s">
        <v>232</v>
      </c>
      <c r="H16" s="251"/>
      <c r="I16" s="219">
        <v>46076.0</v>
      </c>
      <c r="J16" s="219">
        <v>46080.0</v>
      </c>
      <c r="K16" s="211">
        <f t="shared" si="4"/>
        <v>5</v>
      </c>
      <c r="L16" s="212">
        <f>IF(OR(ISBLANK($I16), ISBLANK($J16)), "", IF('진척율보고서'!$M$4 &lt; $I16, 0, IF('진척율보고서'!$M$4 &gt;= $J16, 1, NETWORKDAYS($I16,'진척율보고서'!$M$4)/$K16)))</f>
        <v>1</v>
      </c>
      <c r="M16" s="213" t="s">
        <v>158</v>
      </c>
      <c r="N16" s="214">
        <f t="shared" si="5"/>
        <v>1</v>
      </c>
      <c r="O16" s="215">
        <v>46076.0</v>
      </c>
      <c r="P16" s="216">
        <v>46080.0</v>
      </c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</row>
    <row r="17" ht="13.5" customHeight="1">
      <c r="A17" s="142"/>
      <c r="B17" s="184"/>
      <c r="C17" s="185" t="s">
        <v>327</v>
      </c>
      <c r="D17" s="186"/>
      <c r="E17" s="186"/>
      <c r="F17" s="186"/>
      <c r="G17" s="187"/>
      <c r="H17" s="221"/>
      <c r="I17" s="222">
        <f>MIN(I18:I99)</f>
        <v>46057</v>
      </c>
      <c r="J17" s="189">
        <f>MAX(J18:J99)</f>
        <v>46295</v>
      </c>
      <c r="K17" s="190">
        <f t="shared" si="4"/>
        <v>171</v>
      </c>
      <c r="L17" s="193">
        <f>SUM(L18:L99)/COUNT(L18:L99)</f>
        <v>0.2929823378</v>
      </c>
      <c r="M17" s="192"/>
      <c r="N17" s="193">
        <f>SUM(N18:N99)/COUNT(N18:N99)</f>
        <v>0.2658730159</v>
      </c>
      <c r="O17" s="189"/>
      <c r="P17" s="194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</row>
    <row r="18" ht="13.5" customHeight="1">
      <c r="A18" s="142" t="s">
        <v>313</v>
      </c>
      <c r="B18" s="184"/>
      <c r="C18" s="254"/>
      <c r="D18" s="197" t="s">
        <v>328</v>
      </c>
      <c r="E18" s="197"/>
      <c r="F18" s="197"/>
      <c r="G18" s="198"/>
      <c r="H18" s="223"/>
      <c r="I18" s="255"/>
      <c r="J18" s="256"/>
      <c r="K18" s="257"/>
      <c r="L18" s="257"/>
      <c r="M18" s="259"/>
      <c r="N18" s="260"/>
      <c r="O18" s="256"/>
      <c r="P18" s="261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</row>
    <row r="19" ht="14.25" customHeight="1">
      <c r="A19" s="142"/>
      <c r="B19" s="184"/>
      <c r="C19" s="196"/>
      <c r="D19" s="196"/>
      <c r="E19" s="196" t="s">
        <v>329</v>
      </c>
      <c r="F19" s="206"/>
      <c r="G19" s="267"/>
      <c r="H19" s="262"/>
      <c r="I19" s="219">
        <v>46057.0</v>
      </c>
      <c r="J19" s="219">
        <v>46066.0</v>
      </c>
      <c r="K19" s="211">
        <f t="shared" ref="K19:K20" si="6">IF(OR(ISBLANK($I19), ISBLANK($J19)),"",NETWORKDAYS($I19,$J19))</f>
        <v>8</v>
      </c>
      <c r="L19" s="212">
        <f>IF(OR(ISBLANK($I19), ISBLANK($J19)), "", IF('진척율보고서'!$M$4 &lt; $I19, 0, IF('진척율보고서'!$M$4 &gt;= $J19, 1, NETWORKDAYS($I19,'진척율보고서'!$M$4)/$K19)))</f>
        <v>1</v>
      </c>
      <c r="M19" s="213" t="s">
        <v>158</v>
      </c>
      <c r="N19" s="214">
        <f t="shared" ref="N19:N20" si="7">IF($M19="완료",1,IF($M19="PM확인",0.95,IF($M19="PL확인",0.8,IF($M19="테스트",0.7,IF($M19="수행2단계",0.55,IF($M19="수행1단계",0.35,IF($M19="착수",0.2,IF($M19="미착수",0,""))))))))</f>
        <v>1</v>
      </c>
      <c r="O19" s="227">
        <v>46057.0</v>
      </c>
      <c r="P19" s="229">
        <v>46066.0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ht="14.25" customHeight="1">
      <c r="A20" s="142"/>
      <c r="B20" s="184"/>
      <c r="C20" s="196"/>
      <c r="D20" s="196"/>
      <c r="E20" s="196" t="s">
        <v>330</v>
      </c>
      <c r="F20" s="206"/>
      <c r="G20" s="267"/>
      <c r="H20" s="262"/>
      <c r="I20" s="219">
        <v>46072.0</v>
      </c>
      <c r="J20" s="219">
        <v>46112.0</v>
      </c>
      <c r="K20" s="211">
        <f t="shared" si="6"/>
        <v>29</v>
      </c>
      <c r="L20" s="212">
        <f>IF(OR(ISBLANK($I20), ISBLANK($J20)), "", IF('진척율보고서'!$M$4 &lt; $I20, 0, IF('진척율보고서'!$M$4 &gt;= $J20, 1, NETWORKDAYS($I20,'진척율보고서'!$M$4)/$K20)))</f>
        <v>0.9310344828</v>
      </c>
      <c r="M20" s="213" t="s">
        <v>331</v>
      </c>
      <c r="N20" s="214">
        <f t="shared" si="7"/>
        <v>0.55</v>
      </c>
      <c r="O20" s="264">
        <v>46072.0</v>
      </c>
      <c r="P20" s="229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</row>
    <row r="21" ht="14.25" customHeight="1">
      <c r="A21" s="142"/>
      <c r="B21" s="184"/>
      <c r="C21" s="254"/>
      <c r="D21" s="197" t="s">
        <v>332</v>
      </c>
      <c r="E21" s="197"/>
      <c r="F21" s="197"/>
      <c r="G21" s="198"/>
      <c r="H21" s="223"/>
      <c r="I21" s="255"/>
      <c r="J21" s="256"/>
      <c r="K21" s="257"/>
      <c r="L21" s="257"/>
      <c r="M21" s="259"/>
      <c r="N21" s="260"/>
      <c r="O21" s="256"/>
      <c r="P21" s="261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</row>
    <row r="22" ht="14.25" customHeight="1">
      <c r="A22" s="142"/>
      <c r="B22" s="184"/>
      <c r="C22" s="196"/>
      <c r="D22" s="196"/>
      <c r="E22" s="268" t="s">
        <v>333</v>
      </c>
      <c r="F22" s="269"/>
      <c r="G22" s="270"/>
      <c r="H22" s="271"/>
      <c r="I22" s="272"/>
      <c r="J22" s="273"/>
      <c r="K22" s="274"/>
      <c r="L22" s="274"/>
      <c r="M22" s="275"/>
      <c r="N22" s="276"/>
      <c r="O22" s="273"/>
      <c r="P22" s="277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</row>
    <row r="23" ht="14.25" customHeight="1">
      <c r="A23" s="142"/>
      <c r="B23" s="184"/>
      <c r="C23" s="196"/>
      <c r="D23" s="196"/>
      <c r="E23" s="278" t="s">
        <v>334</v>
      </c>
      <c r="F23" s="206"/>
      <c r="G23" s="267" t="s">
        <v>168</v>
      </c>
      <c r="H23" s="262"/>
      <c r="I23" s="279">
        <v>46072.0</v>
      </c>
      <c r="J23" s="279">
        <v>46094.0</v>
      </c>
      <c r="K23" s="280">
        <f t="shared" ref="K23:K29" si="8">IF(OR(ISBLANK($I23), ISBLANK($J23)),"",NETWORKDAYS($I23,$J23))</f>
        <v>17</v>
      </c>
      <c r="L23" s="281">
        <f>IF(OR(ISBLANK($I23), ISBLANK($J23)), "", IF('진척율보고서'!$M$4 &lt; $I23, 0, IF('진척율보고서'!$M$4 &gt;= $J23, 1, NETWORKDAYS($I23,'진척율보고서'!$M$4)/$K23)))</f>
        <v>1</v>
      </c>
      <c r="M23" s="282" t="s">
        <v>158</v>
      </c>
      <c r="N23" s="283">
        <f t="shared" ref="N23:N29" si="9">IF($M23="완료",1,IF($M23="PM확인",0.95,IF($M23="PL확인",0.8,IF($M23="테스트",0.7,IF($M23="수행2단계",0.55,IF($M23="수행1단계",0.35,IF($M23="착수",0.2,IF($M23="미착수",0,""))))))))</f>
        <v>1</v>
      </c>
      <c r="O23" s="264">
        <v>46072.0</v>
      </c>
      <c r="P23" s="229">
        <v>46094.0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</row>
    <row r="24" ht="13.5" customHeight="1">
      <c r="A24" s="142" t="s">
        <v>313</v>
      </c>
      <c r="B24" s="184"/>
      <c r="C24" s="196"/>
      <c r="D24" s="196"/>
      <c r="E24" s="278" t="s">
        <v>335</v>
      </c>
      <c r="F24" s="206"/>
      <c r="G24" s="267" t="s">
        <v>168</v>
      </c>
      <c r="H24" s="262"/>
      <c r="I24" s="279">
        <v>46090.0</v>
      </c>
      <c r="J24" s="279">
        <v>46100.0</v>
      </c>
      <c r="K24" s="280">
        <f t="shared" si="8"/>
        <v>9</v>
      </c>
      <c r="L24" s="281">
        <f>IF(OR(ISBLANK($I24), ISBLANK($J24)), "", IF('진척율보고서'!$M$4 &lt; $I24, 0, IF('진척율보고서'!$M$4 &gt;= $J24, 1, NETWORKDAYS($I24,'진척율보고서'!$M$4)/$K24)))</f>
        <v>1</v>
      </c>
      <c r="M24" s="282" t="s">
        <v>158</v>
      </c>
      <c r="N24" s="283">
        <f t="shared" si="9"/>
        <v>1</v>
      </c>
      <c r="O24" s="264">
        <v>46090.0</v>
      </c>
      <c r="P24" s="229">
        <v>46101.0</v>
      </c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</row>
    <row r="25" ht="14.25" customHeight="1">
      <c r="A25" s="142"/>
      <c r="B25" s="184"/>
      <c r="C25" s="196"/>
      <c r="D25" s="196"/>
      <c r="E25" s="278" t="s">
        <v>336</v>
      </c>
      <c r="F25" s="206"/>
      <c r="G25" s="217" t="s">
        <v>232</v>
      </c>
      <c r="H25" s="262"/>
      <c r="I25" s="279">
        <v>46101.0</v>
      </c>
      <c r="J25" s="279">
        <v>46101.0</v>
      </c>
      <c r="K25" s="280">
        <f t="shared" si="8"/>
        <v>1</v>
      </c>
      <c r="L25" s="281">
        <f>IF(OR(ISBLANK($I25), ISBLANK($J25)), "", IF('진척율보고서'!$M$4 &lt; $I25, 0, IF('진척율보고서'!$M$4 &gt;= $J25, 1, NETWORKDAYS($I25,'진척율보고서'!$M$4)/$K25)))</f>
        <v>1</v>
      </c>
      <c r="M25" s="282" t="s">
        <v>158</v>
      </c>
      <c r="N25" s="283">
        <f t="shared" si="9"/>
        <v>1</v>
      </c>
      <c r="O25" s="264">
        <v>46101.0</v>
      </c>
      <c r="P25" s="229">
        <v>46101.0</v>
      </c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</row>
    <row r="26" ht="14.25" customHeight="1">
      <c r="A26" s="142"/>
      <c r="B26" s="184"/>
      <c r="C26" s="196"/>
      <c r="D26" s="196"/>
      <c r="E26" s="278" t="s">
        <v>337</v>
      </c>
      <c r="F26" s="206"/>
      <c r="G26" s="267" t="s">
        <v>168</v>
      </c>
      <c r="H26" s="262"/>
      <c r="I26" s="279">
        <v>46104.0</v>
      </c>
      <c r="J26" s="279">
        <v>46112.0</v>
      </c>
      <c r="K26" s="280">
        <f t="shared" si="8"/>
        <v>7</v>
      </c>
      <c r="L26" s="281">
        <f>IF(OR(ISBLANK($I26), ISBLANK($J26)), "", IF('진척율보고서'!$M$4 &lt; $I26, 0, IF('진척율보고서'!$M$4 &gt;= $J26, 1, NETWORKDAYS($I26,'진척율보고서'!$M$4)/$K26)))</f>
        <v>0.7142857143</v>
      </c>
      <c r="M26" s="282" t="s">
        <v>163</v>
      </c>
      <c r="N26" s="283">
        <f t="shared" si="9"/>
        <v>0</v>
      </c>
      <c r="O26" s="264"/>
      <c r="P26" s="229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</row>
    <row r="27" ht="14.25" customHeight="1">
      <c r="A27" s="142"/>
      <c r="B27" s="184"/>
      <c r="C27" s="196"/>
      <c r="D27" s="196"/>
      <c r="E27" s="278" t="s">
        <v>338</v>
      </c>
      <c r="F27" s="206"/>
      <c r="G27" s="267" t="s">
        <v>168</v>
      </c>
      <c r="H27" s="262"/>
      <c r="I27" s="279">
        <v>46112.0</v>
      </c>
      <c r="J27" s="279">
        <v>46130.0</v>
      </c>
      <c r="K27" s="280">
        <f t="shared" si="8"/>
        <v>14</v>
      </c>
      <c r="L27" s="281">
        <f>IF(OR(ISBLANK($I27), ISBLANK($J27)), "", IF('진척율보고서'!$M$4 &lt; $I27, 0, IF('진척율보고서'!$M$4 &gt;= $J27, 1, NETWORKDAYS($I27,'진척율보고서'!$M$4)/$K27)))</f>
        <v>0</v>
      </c>
      <c r="M27" s="282" t="s">
        <v>163</v>
      </c>
      <c r="N27" s="283">
        <f t="shared" si="9"/>
        <v>0</v>
      </c>
      <c r="O27" s="264"/>
      <c r="P27" s="229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</row>
    <row r="28" ht="14.25" customHeight="1">
      <c r="A28" s="142"/>
      <c r="B28" s="184"/>
      <c r="C28" s="196"/>
      <c r="D28" s="196"/>
      <c r="E28" s="278" t="s">
        <v>339</v>
      </c>
      <c r="F28" s="206"/>
      <c r="G28" s="267" t="s">
        <v>168</v>
      </c>
      <c r="H28" s="262"/>
      <c r="I28" s="279">
        <v>46126.0</v>
      </c>
      <c r="J28" s="279">
        <v>46137.0</v>
      </c>
      <c r="K28" s="280">
        <f t="shared" si="8"/>
        <v>9</v>
      </c>
      <c r="L28" s="281">
        <f>IF(OR(ISBLANK($I28), ISBLANK($J28)), "", IF('진척율보고서'!$M$4 &lt; $I28, 0, IF('진척율보고서'!$M$4 &gt;= $J28, 1, NETWORKDAYS($I28,'진척율보고서'!$M$4)/$K28)))</f>
        <v>0</v>
      </c>
      <c r="M28" s="282" t="s">
        <v>163</v>
      </c>
      <c r="N28" s="283">
        <f t="shared" si="9"/>
        <v>0</v>
      </c>
      <c r="O28" s="264"/>
      <c r="P28" s="229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</row>
    <row r="29" ht="14.25" customHeight="1">
      <c r="A29" s="142"/>
      <c r="B29" s="184"/>
      <c r="C29" s="196"/>
      <c r="D29" s="196"/>
      <c r="E29" s="278" t="s">
        <v>340</v>
      </c>
      <c r="F29" s="206"/>
      <c r="G29" s="267" t="s">
        <v>168</v>
      </c>
      <c r="H29" s="262"/>
      <c r="I29" s="279">
        <v>46119.0</v>
      </c>
      <c r="J29" s="279">
        <v>46165.0</v>
      </c>
      <c r="K29" s="280">
        <f t="shared" si="8"/>
        <v>34</v>
      </c>
      <c r="L29" s="281">
        <f>IF(OR(ISBLANK($I29), ISBLANK($J29)), "", IF('진척율보고서'!$M$4 &lt; $I29, 0, IF('진척율보고서'!$M$4 &gt;= $J29, 1, NETWORKDAYS($I29,'진척율보고서'!$M$4)/$K29)))</f>
        <v>0</v>
      </c>
      <c r="M29" s="282" t="s">
        <v>163</v>
      </c>
      <c r="N29" s="283">
        <f t="shared" si="9"/>
        <v>0</v>
      </c>
      <c r="O29" s="264"/>
      <c r="P29" s="229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ht="14.25" customHeight="1">
      <c r="A30" s="142"/>
      <c r="B30" s="184"/>
      <c r="C30" s="254"/>
      <c r="D30" s="197" t="s">
        <v>341</v>
      </c>
      <c r="E30" s="197"/>
      <c r="F30" s="197"/>
      <c r="G30" s="198"/>
      <c r="H30" s="223"/>
      <c r="I30" s="255"/>
      <c r="J30" s="256"/>
      <c r="K30" s="257"/>
      <c r="L30" s="257"/>
      <c r="M30" s="259"/>
      <c r="N30" s="260"/>
      <c r="O30" s="256"/>
      <c r="P30" s="261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ht="14.25" customHeight="1">
      <c r="A31" s="142"/>
      <c r="B31" s="184"/>
      <c r="C31" s="196"/>
      <c r="D31" s="196"/>
      <c r="E31" s="268" t="s">
        <v>342</v>
      </c>
      <c r="F31" s="269"/>
      <c r="G31" s="270"/>
      <c r="H31" s="271"/>
      <c r="I31" s="272"/>
      <c r="J31" s="273"/>
      <c r="K31" s="274"/>
      <c r="L31" s="274"/>
      <c r="M31" s="275"/>
      <c r="N31" s="276"/>
      <c r="O31" s="273"/>
      <c r="P31" s="277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</row>
    <row r="32" ht="14.25" customHeight="1">
      <c r="A32" s="142"/>
      <c r="B32" s="184"/>
      <c r="C32" s="196"/>
      <c r="D32" s="196"/>
      <c r="E32" s="278" t="s">
        <v>343</v>
      </c>
      <c r="F32" s="206"/>
      <c r="G32" s="217" t="s">
        <v>232</v>
      </c>
      <c r="H32" s="262"/>
      <c r="I32" s="264">
        <v>46090.0</v>
      </c>
      <c r="J32" s="264">
        <v>46108.0</v>
      </c>
      <c r="K32" s="211">
        <f t="shared" ref="K32:K33" si="10">IF(OR(ISBLANK($I32), ISBLANK($J32)),"",NETWORKDAYS($I32,$J32))</f>
        <v>15</v>
      </c>
      <c r="L32" s="212">
        <f>IF(OR(ISBLANK($I32), ISBLANK($J32)), "", IF('진척율보고서'!$M$4 &lt; $I32, 0, IF('진척율보고서'!$M$4 &gt;= $J32, 1, NETWORKDAYS($I32,'진척율보고서'!$M$4)/$K32)))</f>
        <v>1</v>
      </c>
      <c r="M32" s="213" t="s">
        <v>158</v>
      </c>
      <c r="N32" s="214">
        <f t="shared" ref="N32:N33" si="11">IF($M32="완료",1,IF($M32="PM확인",0.95,IF($M32="PL확인",0.8,IF($M32="테스트",0.7,IF($M32="수행2단계",0.55,IF($M32="수행1단계",0.35,IF($M32="착수",0.2,IF($M32="미착수",0,""))))))))</f>
        <v>1</v>
      </c>
      <c r="O32" s="264">
        <v>46090.0</v>
      </c>
      <c r="P32" s="229">
        <v>46108.0</v>
      </c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</row>
    <row r="33" ht="14.25" customHeight="1">
      <c r="A33" s="142"/>
      <c r="B33" s="184"/>
      <c r="C33" s="196"/>
      <c r="D33" s="196"/>
      <c r="E33" s="278" t="s">
        <v>344</v>
      </c>
      <c r="F33" s="206"/>
      <c r="G33" s="267" t="s">
        <v>168</v>
      </c>
      <c r="H33" s="262"/>
      <c r="I33" s="264">
        <v>46111.0</v>
      </c>
      <c r="J33" s="264">
        <v>46115.0</v>
      </c>
      <c r="K33" s="211">
        <f t="shared" si="10"/>
        <v>5</v>
      </c>
      <c r="L33" s="212">
        <f>IF(OR(ISBLANK($I33), ISBLANK($J33)), "", IF('진척율보고서'!$M$4 &lt; $I33, 0, IF('진척율보고서'!$M$4 &gt;= $J33, 1, NETWORKDAYS($I33,'진척율보고서'!$M$4)/$K33)))</f>
        <v>0</v>
      </c>
      <c r="M33" s="213" t="s">
        <v>163</v>
      </c>
      <c r="N33" s="214">
        <f t="shared" si="11"/>
        <v>0</v>
      </c>
      <c r="O33" s="264"/>
      <c r="P33" s="229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</row>
    <row r="34" ht="13.5" customHeight="1">
      <c r="A34" s="142" t="s">
        <v>313</v>
      </c>
      <c r="B34" s="184"/>
      <c r="C34" s="196"/>
      <c r="D34" s="196"/>
      <c r="E34" s="268" t="s">
        <v>345</v>
      </c>
      <c r="F34" s="269"/>
      <c r="G34" s="270"/>
      <c r="H34" s="271"/>
      <c r="I34" s="272"/>
      <c r="J34" s="273"/>
      <c r="K34" s="274"/>
      <c r="L34" s="274"/>
      <c r="M34" s="275"/>
      <c r="N34" s="276"/>
      <c r="O34" s="273"/>
      <c r="P34" s="277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</row>
    <row r="35" ht="14.25" customHeight="1">
      <c r="A35" s="142"/>
      <c r="B35" s="184"/>
      <c r="C35" s="196"/>
      <c r="D35" s="196"/>
      <c r="E35" s="278" t="s">
        <v>346</v>
      </c>
      <c r="F35" s="206"/>
      <c r="G35" s="217" t="s">
        <v>232</v>
      </c>
      <c r="H35" s="262"/>
      <c r="I35" s="264">
        <v>46090.0</v>
      </c>
      <c r="J35" s="264">
        <v>46108.0</v>
      </c>
      <c r="K35" s="211">
        <f t="shared" ref="K35:K42" si="12">IF(OR(ISBLANK($I35), ISBLANK($J35)),"",NETWORKDAYS($I35,$J35))</f>
        <v>15</v>
      </c>
      <c r="L35" s="212">
        <f>IF(OR(ISBLANK($I35), ISBLANK($J35)), "", IF('진척율보고서'!$M$4 &lt; $I35, 0, IF('진척율보고서'!$M$4 &gt;= $J35, 1, NETWORKDAYS($I35,'진척율보고서'!$M$4)/$K35)))</f>
        <v>1</v>
      </c>
      <c r="M35" s="213" t="s">
        <v>158</v>
      </c>
      <c r="N35" s="214">
        <f t="shared" ref="N35:N42" si="13">IF($M35="완료",1,IF($M35="PM확인",0.95,IF($M35="PL확인",0.8,IF($M35="테스트",0.7,IF($M35="수행2단계",0.55,IF($M35="수행1단계",0.35,IF($M35="착수",0.2,IF($M35="미착수",0,""))))))))</f>
        <v>1</v>
      </c>
      <c r="O35" s="264">
        <v>46090.0</v>
      </c>
      <c r="P35" s="229">
        <v>46108.0</v>
      </c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</row>
    <row r="36" ht="14.25" customHeight="1">
      <c r="A36" s="142"/>
      <c r="B36" s="184"/>
      <c r="C36" s="196"/>
      <c r="D36" s="196"/>
      <c r="E36" s="278" t="s">
        <v>347</v>
      </c>
      <c r="F36" s="206"/>
      <c r="G36" s="267" t="s">
        <v>168</v>
      </c>
      <c r="H36" s="262"/>
      <c r="I36" s="264">
        <v>46118.0</v>
      </c>
      <c r="J36" s="264">
        <v>46122.0</v>
      </c>
      <c r="K36" s="211">
        <f t="shared" si="12"/>
        <v>5</v>
      </c>
      <c r="L36" s="212">
        <f>IF(OR(ISBLANK($I36), ISBLANK($J36)), "", IF('진척율보고서'!$M$4 &lt; $I36, 0, IF('진척율보고서'!$M$4 &gt;= $J36, 1, NETWORKDAYS($I36,'진척율보고서'!$M$4)/$K36)))</f>
        <v>0</v>
      </c>
      <c r="M36" s="213" t="s">
        <v>163</v>
      </c>
      <c r="N36" s="214">
        <f t="shared" si="13"/>
        <v>0</v>
      </c>
      <c r="O36" s="264"/>
      <c r="P36" s="229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</row>
    <row r="37" ht="14.25" customHeight="1">
      <c r="A37" s="142"/>
      <c r="B37" s="184"/>
      <c r="C37" s="196"/>
      <c r="D37" s="196"/>
      <c r="E37" s="278" t="s">
        <v>348</v>
      </c>
      <c r="F37" s="206"/>
      <c r="G37" s="217" t="s">
        <v>232</v>
      </c>
      <c r="H37" s="262"/>
      <c r="I37" s="264">
        <v>46090.0</v>
      </c>
      <c r="J37" s="264">
        <v>46108.0</v>
      </c>
      <c r="K37" s="211">
        <f t="shared" si="12"/>
        <v>15</v>
      </c>
      <c r="L37" s="212">
        <f>IF(OR(ISBLANK($I37), ISBLANK($J37)), "", IF('진척율보고서'!$M$4 &lt; $I37, 0, IF('진척율보고서'!$M$4 &gt;= $J37, 1, NETWORKDAYS($I37,'진척율보고서'!$M$4)/$K37)))</f>
        <v>1</v>
      </c>
      <c r="M37" s="213" t="s">
        <v>158</v>
      </c>
      <c r="N37" s="214">
        <f t="shared" si="13"/>
        <v>1</v>
      </c>
      <c r="O37" s="264">
        <v>46090.0</v>
      </c>
      <c r="P37" s="229">
        <v>46108.0</v>
      </c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ht="14.25" customHeight="1">
      <c r="A38" s="142"/>
      <c r="B38" s="184"/>
      <c r="C38" s="196"/>
      <c r="D38" s="196"/>
      <c r="E38" s="278" t="s">
        <v>349</v>
      </c>
      <c r="F38" s="206"/>
      <c r="G38" s="267" t="s">
        <v>168</v>
      </c>
      <c r="H38" s="262"/>
      <c r="I38" s="264">
        <v>46125.0</v>
      </c>
      <c r="J38" s="264">
        <v>46129.0</v>
      </c>
      <c r="K38" s="211">
        <f t="shared" si="12"/>
        <v>5</v>
      </c>
      <c r="L38" s="212">
        <f>IF(OR(ISBLANK($I38), ISBLANK($J38)), "", IF('진척율보고서'!$M$4 &lt; $I38, 0, IF('진척율보고서'!$M$4 &gt;= $J38, 1, NETWORKDAYS($I38,'진척율보고서'!$M$4)/$K38)))</f>
        <v>0</v>
      </c>
      <c r="M38" s="213" t="s">
        <v>163</v>
      </c>
      <c r="N38" s="214">
        <f t="shared" si="13"/>
        <v>0</v>
      </c>
      <c r="O38" s="264"/>
      <c r="P38" s="229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</row>
    <row r="39" ht="14.25" customHeight="1">
      <c r="A39" s="142"/>
      <c r="B39" s="184"/>
      <c r="C39" s="196"/>
      <c r="D39" s="196"/>
      <c r="E39" s="278" t="s">
        <v>350</v>
      </c>
      <c r="F39" s="206"/>
      <c r="G39" s="217" t="s">
        <v>232</v>
      </c>
      <c r="H39" s="262"/>
      <c r="I39" s="264">
        <v>46090.0</v>
      </c>
      <c r="J39" s="264">
        <v>46108.0</v>
      </c>
      <c r="K39" s="211">
        <f t="shared" si="12"/>
        <v>15</v>
      </c>
      <c r="L39" s="212">
        <f>IF(OR(ISBLANK($I39), ISBLANK($J39)), "", IF('진척율보고서'!$M$4 &lt; $I39, 0, IF('진척율보고서'!$M$4 &gt;= $J39, 1, NETWORKDAYS($I39,'진척율보고서'!$M$4)/$K39)))</f>
        <v>1</v>
      </c>
      <c r="M39" s="213" t="s">
        <v>158</v>
      </c>
      <c r="N39" s="214">
        <f t="shared" si="13"/>
        <v>1</v>
      </c>
      <c r="O39" s="264">
        <v>46090.0</v>
      </c>
      <c r="P39" s="229">
        <v>46108.0</v>
      </c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</row>
    <row r="40" ht="13.5" customHeight="1">
      <c r="A40" s="142" t="s">
        <v>313</v>
      </c>
      <c r="B40" s="184"/>
      <c r="C40" s="196"/>
      <c r="D40" s="196"/>
      <c r="E40" s="278" t="s">
        <v>351</v>
      </c>
      <c r="F40" s="206"/>
      <c r="G40" s="267" t="s">
        <v>168</v>
      </c>
      <c r="H40" s="262"/>
      <c r="I40" s="264">
        <v>46132.0</v>
      </c>
      <c r="J40" s="264">
        <v>46136.0</v>
      </c>
      <c r="K40" s="211">
        <f t="shared" si="12"/>
        <v>5</v>
      </c>
      <c r="L40" s="212">
        <f>IF(OR(ISBLANK($I40), ISBLANK($J40)), "", IF('진척율보고서'!$M$4 &lt; $I40, 0, IF('진척율보고서'!$M$4 &gt;= $J40, 1, NETWORKDAYS($I40,'진척율보고서'!$M$4)/$K40)))</f>
        <v>0</v>
      </c>
      <c r="M40" s="213" t="s">
        <v>163</v>
      </c>
      <c r="N40" s="214">
        <f t="shared" si="13"/>
        <v>0</v>
      </c>
      <c r="O40" s="264"/>
      <c r="P40" s="229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</row>
    <row r="41" ht="14.25" customHeight="1">
      <c r="A41" s="142"/>
      <c r="B41" s="184"/>
      <c r="C41" s="196"/>
      <c r="D41" s="196"/>
      <c r="E41" s="278" t="s">
        <v>352</v>
      </c>
      <c r="F41" s="206"/>
      <c r="G41" s="217" t="s">
        <v>232</v>
      </c>
      <c r="H41" s="262"/>
      <c r="I41" s="264">
        <v>46090.0</v>
      </c>
      <c r="J41" s="264">
        <v>46108.0</v>
      </c>
      <c r="K41" s="211">
        <f t="shared" si="12"/>
        <v>15</v>
      </c>
      <c r="L41" s="212">
        <f>IF(OR(ISBLANK($I41), ISBLANK($J41)), "", IF('진척율보고서'!$M$4 &lt; $I41, 0, IF('진척율보고서'!$M$4 &gt;= $J41, 1, NETWORKDAYS($I41,'진척율보고서'!$M$4)/$K41)))</f>
        <v>1</v>
      </c>
      <c r="M41" s="213" t="s">
        <v>158</v>
      </c>
      <c r="N41" s="214">
        <f t="shared" si="13"/>
        <v>1</v>
      </c>
      <c r="O41" s="264">
        <v>46090.0</v>
      </c>
      <c r="P41" s="229">
        <v>46108.0</v>
      </c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</row>
    <row r="42" ht="14.25" customHeight="1">
      <c r="A42" s="142"/>
      <c r="B42" s="184"/>
      <c r="C42" s="196"/>
      <c r="D42" s="196"/>
      <c r="E42" s="278" t="s">
        <v>353</v>
      </c>
      <c r="F42" s="206"/>
      <c r="G42" s="267" t="s">
        <v>168</v>
      </c>
      <c r="H42" s="262"/>
      <c r="I42" s="264">
        <v>46139.0</v>
      </c>
      <c r="J42" s="264">
        <v>46143.0</v>
      </c>
      <c r="K42" s="211">
        <f t="shared" si="12"/>
        <v>5</v>
      </c>
      <c r="L42" s="212">
        <f>IF(OR(ISBLANK($I42), ISBLANK($J42)), "", IF('진척율보고서'!$M$4 &lt; $I42, 0, IF('진척율보고서'!$M$4 &gt;= $J42, 1, NETWORKDAYS($I42,'진척율보고서'!$M$4)/$K42)))</f>
        <v>0</v>
      </c>
      <c r="M42" s="213" t="s">
        <v>163</v>
      </c>
      <c r="N42" s="214">
        <f t="shared" si="13"/>
        <v>0</v>
      </c>
      <c r="O42" s="264"/>
      <c r="P42" s="229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</row>
    <row r="43" ht="14.25" customHeight="1">
      <c r="A43" s="142"/>
      <c r="B43" s="184"/>
      <c r="C43" s="196"/>
      <c r="D43" s="196"/>
      <c r="E43" s="268" t="s">
        <v>354</v>
      </c>
      <c r="F43" s="269"/>
      <c r="G43" s="270"/>
      <c r="H43" s="271"/>
      <c r="I43" s="272"/>
      <c r="J43" s="273"/>
      <c r="K43" s="274"/>
      <c r="L43" s="274"/>
      <c r="M43" s="275"/>
      <c r="N43" s="276"/>
      <c r="O43" s="273"/>
      <c r="P43" s="277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</row>
    <row r="44" ht="14.25" customHeight="1">
      <c r="A44" s="142"/>
      <c r="B44" s="184"/>
      <c r="C44" s="196"/>
      <c r="D44" s="196"/>
      <c r="E44" s="278" t="s">
        <v>355</v>
      </c>
      <c r="F44" s="206"/>
      <c r="G44" s="217" t="s">
        <v>232</v>
      </c>
      <c r="H44" s="262"/>
      <c r="I44" s="264">
        <v>46090.0</v>
      </c>
      <c r="J44" s="264">
        <v>46108.0</v>
      </c>
      <c r="K44" s="211">
        <f t="shared" ref="K44:K49" si="14">IF(OR(ISBLANK($I44), ISBLANK($J44)),"",NETWORKDAYS($I44,$J44))</f>
        <v>15</v>
      </c>
      <c r="L44" s="212">
        <f>IF(OR(ISBLANK($I44), ISBLANK($J44)), "", IF('진척율보고서'!$M$4 &lt; $I44, 0, IF('진척율보고서'!$M$4 &gt;= $J44, 1, NETWORKDAYS($I44,'진척율보고서'!$M$4)/$K44)))</f>
        <v>1</v>
      </c>
      <c r="M44" s="213" t="s">
        <v>158</v>
      </c>
      <c r="N44" s="214">
        <f t="shared" ref="N44:N49" si="15">IF($M44="완료",1,IF($M44="PM확인",0.95,IF($M44="PL확인",0.8,IF($M44="테스트",0.7,IF($M44="수행2단계",0.55,IF($M44="수행1단계",0.35,IF($M44="착수",0.2,IF($M44="미착수",0,""))))))))</f>
        <v>1</v>
      </c>
      <c r="O44" s="264">
        <v>46090.0</v>
      </c>
      <c r="P44" s="229">
        <v>46108.0</v>
      </c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</row>
    <row r="45" ht="14.25" customHeight="1">
      <c r="A45" s="142"/>
      <c r="B45" s="184"/>
      <c r="C45" s="196"/>
      <c r="D45" s="196"/>
      <c r="E45" s="278" t="s">
        <v>356</v>
      </c>
      <c r="F45" s="206"/>
      <c r="G45" s="267" t="s">
        <v>168</v>
      </c>
      <c r="H45" s="262"/>
      <c r="I45" s="264">
        <v>46144.0</v>
      </c>
      <c r="J45" s="264">
        <v>46150.0</v>
      </c>
      <c r="K45" s="211">
        <f t="shared" si="14"/>
        <v>5</v>
      </c>
      <c r="L45" s="212">
        <f>IF(OR(ISBLANK($I45), ISBLANK($J45)), "", IF('진척율보고서'!$M$4 &lt; $I45, 0, IF('진척율보고서'!$M$4 &gt;= $J45, 1, NETWORKDAYS($I45,'진척율보고서'!$M$4)/$K45)))</f>
        <v>0</v>
      </c>
      <c r="M45" s="213" t="s">
        <v>163</v>
      </c>
      <c r="N45" s="214">
        <f t="shared" si="15"/>
        <v>0</v>
      </c>
      <c r="O45" s="264"/>
      <c r="P45" s="229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</row>
    <row r="46" ht="13.5" customHeight="1">
      <c r="A46" s="142" t="s">
        <v>313</v>
      </c>
      <c r="B46" s="184"/>
      <c r="C46" s="196"/>
      <c r="D46" s="196"/>
      <c r="E46" s="278" t="s">
        <v>357</v>
      </c>
      <c r="F46" s="206"/>
      <c r="G46" s="217" t="s">
        <v>232</v>
      </c>
      <c r="H46" s="262"/>
      <c r="I46" s="264">
        <v>46090.0</v>
      </c>
      <c r="J46" s="264">
        <v>46108.0</v>
      </c>
      <c r="K46" s="211">
        <f t="shared" si="14"/>
        <v>15</v>
      </c>
      <c r="L46" s="212">
        <f>IF(OR(ISBLANK($I46), ISBLANK($J46)), "", IF('진척율보고서'!$M$4 &lt; $I46, 0, IF('진척율보고서'!$M$4 &gt;= $J46, 1, NETWORKDAYS($I46,'진척율보고서'!$M$4)/$K46)))</f>
        <v>1</v>
      </c>
      <c r="M46" s="213" t="s">
        <v>158</v>
      </c>
      <c r="N46" s="214">
        <f t="shared" si="15"/>
        <v>1</v>
      </c>
      <c r="O46" s="264">
        <v>46090.0</v>
      </c>
      <c r="P46" s="229">
        <v>46108.0</v>
      </c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</row>
    <row r="47" ht="14.25" customHeight="1">
      <c r="A47" s="142"/>
      <c r="B47" s="184"/>
      <c r="C47" s="196"/>
      <c r="D47" s="196"/>
      <c r="E47" s="278" t="s">
        <v>358</v>
      </c>
      <c r="F47" s="206"/>
      <c r="G47" s="267" t="s">
        <v>168</v>
      </c>
      <c r="H47" s="262"/>
      <c r="I47" s="264">
        <v>46153.0</v>
      </c>
      <c r="J47" s="264">
        <v>46157.0</v>
      </c>
      <c r="K47" s="211">
        <f t="shared" si="14"/>
        <v>5</v>
      </c>
      <c r="L47" s="212">
        <f>IF(OR(ISBLANK($I47), ISBLANK($J47)), "", IF('진척율보고서'!$M$4 &lt; $I47, 0, IF('진척율보고서'!$M$4 &gt;= $J47, 1, NETWORKDAYS($I47,'진척율보고서'!$M$4)/$K47)))</f>
        <v>0</v>
      </c>
      <c r="M47" s="213" t="s">
        <v>163</v>
      </c>
      <c r="N47" s="214">
        <f t="shared" si="15"/>
        <v>0</v>
      </c>
      <c r="O47" s="264"/>
      <c r="P47" s="229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</row>
    <row r="48" ht="14.25" customHeight="1">
      <c r="A48" s="142"/>
      <c r="B48" s="184"/>
      <c r="C48" s="196"/>
      <c r="D48" s="196"/>
      <c r="E48" s="278" t="s">
        <v>359</v>
      </c>
      <c r="F48" s="206"/>
      <c r="G48" s="217" t="s">
        <v>232</v>
      </c>
      <c r="H48" s="262"/>
      <c r="I48" s="264">
        <v>46090.0</v>
      </c>
      <c r="J48" s="264">
        <v>46108.0</v>
      </c>
      <c r="K48" s="211">
        <f t="shared" si="14"/>
        <v>15</v>
      </c>
      <c r="L48" s="212">
        <f>IF(OR(ISBLANK($I48), ISBLANK($J48)), "", IF('진척율보고서'!$M$4 &lt; $I48, 0, IF('진척율보고서'!$M$4 &gt;= $J48, 1, NETWORKDAYS($I48,'진척율보고서'!$M$4)/$K48)))</f>
        <v>1</v>
      </c>
      <c r="M48" s="213" t="s">
        <v>158</v>
      </c>
      <c r="N48" s="214">
        <f t="shared" si="15"/>
        <v>1</v>
      </c>
      <c r="O48" s="264">
        <v>46090.0</v>
      </c>
      <c r="P48" s="229">
        <v>46108.0</v>
      </c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</row>
    <row r="49" ht="14.25" customHeight="1">
      <c r="A49" s="142"/>
      <c r="B49" s="184"/>
      <c r="C49" s="196"/>
      <c r="D49" s="196"/>
      <c r="E49" s="278" t="s">
        <v>360</v>
      </c>
      <c r="F49" s="206"/>
      <c r="G49" s="267" t="s">
        <v>168</v>
      </c>
      <c r="H49" s="262"/>
      <c r="I49" s="264">
        <v>46160.0</v>
      </c>
      <c r="J49" s="264">
        <v>46164.0</v>
      </c>
      <c r="K49" s="211">
        <f t="shared" si="14"/>
        <v>5</v>
      </c>
      <c r="L49" s="212">
        <f>IF(OR(ISBLANK($I49), ISBLANK($J49)), "", IF('진척율보고서'!$M$4 &lt; $I49, 0, IF('진척율보고서'!$M$4 &gt;= $J49, 1, NETWORKDAYS($I49,'진척율보고서'!$M$4)/$K49)))</f>
        <v>0</v>
      </c>
      <c r="M49" s="213" t="s">
        <v>163</v>
      </c>
      <c r="N49" s="214">
        <f t="shared" si="15"/>
        <v>0</v>
      </c>
      <c r="O49" s="264"/>
      <c r="P49" s="229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ht="14.25" customHeight="1">
      <c r="A50" s="142"/>
      <c r="B50" s="184"/>
      <c r="C50" s="254"/>
      <c r="D50" s="197" t="s">
        <v>361</v>
      </c>
      <c r="E50" s="197"/>
      <c r="F50" s="197"/>
      <c r="G50" s="198"/>
      <c r="H50" s="223"/>
      <c r="I50" s="255"/>
      <c r="J50" s="256"/>
      <c r="K50" s="257"/>
      <c r="L50" s="257"/>
      <c r="M50" s="259"/>
      <c r="N50" s="260"/>
      <c r="O50" s="256"/>
      <c r="P50" s="261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</row>
    <row r="51" ht="14.25" customHeight="1">
      <c r="A51" s="142"/>
      <c r="B51" s="184"/>
      <c r="C51" s="196"/>
      <c r="D51" s="196"/>
      <c r="E51" s="278" t="s">
        <v>362</v>
      </c>
      <c r="F51" s="206"/>
      <c r="G51" s="217" t="s">
        <v>232</v>
      </c>
      <c r="H51" s="262"/>
      <c r="I51" s="264">
        <v>46090.0</v>
      </c>
      <c r="J51" s="264">
        <v>46094.0</v>
      </c>
      <c r="K51" s="211">
        <f t="shared" ref="K51:K52" si="16">IF(OR(ISBLANK($I51), ISBLANK($J51)),"",NETWORKDAYS($I51,$J51))</f>
        <v>5</v>
      </c>
      <c r="L51" s="212">
        <f>IF(OR(ISBLANK($I51), ISBLANK($J51)), "", IF('진척율보고서'!$M$4 &lt; $I51, 0, IF('진척율보고서'!$M$4 &gt;= $J51, 1, NETWORKDAYS($I51,'진척율보고서'!$M$4)/$K51)))</f>
        <v>1</v>
      </c>
      <c r="M51" s="213" t="s">
        <v>158</v>
      </c>
      <c r="N51" s="214">
        <f t="shared" ref="N51:N52" si="17">IF($M51="완료",1,IF($M51="PM확인",0.95,IF($M51="PL확인",0.8,IF($M51="테스트",0.7,IF($M51="수행2단계",0.55,IF($M51="수행1단계",0.35,IF($M51="착수",0.2,IF($M51="미착수",0,""))))))))</f>
        <v>1</v>
      </c>
      <c r="O51" s="264">
        <v>46078.0</v>
      </c>
      <c r="P51" s="229">
        <v>46080.0</v>
      </c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</row>
    <row r="52" ht="13.5" customHeight="1">
      <c r="A52" s="142" t="s">
        <v>313</v>
      </c>
      <c r="B52" s="184"/>
      <c r="C52" s="196"/>
      <c r="D52" s="196"/>
      <c r="E52" s="278" t="s">
        <v>363</v>
      </c>
      <c r="F52" s="206"/>
      <c r="G52" s="267" t="s">
        <v>168</v>
      </c>
      <c r="H52" s="262"/>
      <c r="I52" s="264">
        <v>46113.0</v>
      </c>
      <c r="J52" s="264">
        <v>46142.0</v>
      </c>
      <c r="K52" s="211">
        <f t="shared" si="16"/>
        <v>22</v>
      </c>
      <c r="L52" s="212">
        <f>IF(OR(ISBLANK($I52), ISBLANK($J52)), "", IF('진척율보고서'!$M$4 &lt; $I52, 0, IF('진척율보고서'!$M$4 &gt;= $J52, 1, NETWORKDAYS($I52,'진척율보고서'!$M$4)/$K52)))</f>
        <v>0</v>
      </c>
      <c r="M52" s="213" t="s">
        <v>163</v>
      </c>
      <c r="N52" s="214">
        <f t="shared" si="17"/>
        <v>0</v>
      </c>
      <c r="O52" s="264"/>
      <c r="P52" s="229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ht="14.25" customHeight="1">
      <c r="A53" s="142"/>
      <c r="B53" s="184"/>
      <c r="C53" s="254"/>
      <c r="D53" s="197" t="s">
        <v>364</v>
      </c>
      <c r="E53" s="197"/>
      <c r="F53" s="197"/>
      <c r="G53" s="198"/>
      <c r="H53" s="223"/>
      <c r="I53" s="255"/>
      <c r="J53" s="256"/>
      <c r="K53" s="257"/>
      <c r="L53" s="257"/>
      <c r="M53" s="259"/>
      <c r="N53" s="260"/>
      <c r="O53" s="256"/>
      <c r="P53" s="261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</row>
    <row r="54" ht="14.25" customHeight="1">
      <c r="A54" s="142"/>
      <c r="B54" s="184"/>
      <c r="C54" s="196"/>
      <c r="D54" s="196"/>
      <c r="E54" s="196" t="s">
        <v>365</v>
      </c>
      <c r="F54" s="206"/>
      <c r="G54" s="267" t="s">
        <v>168</v>
      </c>
      <c r="H54" s="262"/>
      <c r="I54" s="219">
        <v>46090.0</v>
      </c>
      <c r="J54" s="264">
        <v>46108.0</v>
      </c>
      <c r="K54" s="211">
        <f t="shared" ref="K54:K55" si="18">IF(OR(ISBLANK($I54), ISBLANK($J54)),"",NETWORKDAYS($I54,$J54))</f>
        <v>15</v>
      </c>
      <c r="L54" s="212">
        <f>IF(OR(ISBLANK($I54), ISBLANK($J54)), "", IF('진척율보고서'!$M$4 &lt; $I54, 0, IF('진척율보고서'!$M$4 &gt;= $J54, 1, NETWORKDAYS($I54,'진척율보고서'!$M$4)/$K54)))</f>
        <v>1</v>
      </c>
      <c r="M54" s="213" t="s">
        <v>158</v>
      </c>
      <c r="N54" s="214">
        <f t="shared" ref="N54:N55" si="19">IF($M54="완료",1,IF($M54="PM확인",0.95,IF($M54="PL확인",0.8,IF($M54="테스트",0.7,IF($M54="수행2단계",0.55,IF($M54="수행1단계",0.35,IF($M54="착수",0.2,IF($M54="미착수",0,""))))))))</f>
        <v>1</v>
      </c>
      <c r="O54" s="264">
        <v>46090.0</v>
      </c>
      <c r="P54" s="229">
        <v>46108.0</v>
      </c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</row>
    <row r="55" ht="14.25" customHeight="1">
      <c r="A55" s="142"/>
      <c r="B55" s="184"/>
      <c r="C55" s="196"/>
      <c r="D55" s="196"/>
      <c r="E55" s="196" t="s">
        <v>366</v>
      </c>
      <c r="F55" s="206"/>
      <c r="G55" s="267" t="s">
        <v>168</v>
      </c>
      <c r="H55" s="262"/>
      <c r="I55" s="264">
        <v>46168.0</v>
      </c>
      <c r="J55" s="264">
        <v>46171.0</v>
      </c>
      <c r="K55" s="211">
        <f t="shared" si="18"/>
        <v>4</v>
      </c>
      <c r="L55" s="212">
        <f>IF(OR(ISBLANK($I55), ISBLANK($J55)), "", IF('진척율보고서'!$M$4 &lt; $I55, 0, IF('진척율보고서'!$M$4 &gt;= $J55, 1, NETWORKDAYS($I55,'진척율보고서'!$M$4)/$K55)))</f>
        <v>0</v>
      </c>
      <c r="M55" s="213" t="s">
        <v>163</v>
      </c>
      <c r="N55" s="214">
        <f t="shared" si="19"/>
        <v>0</v>
      </c>
      <c r="O55" s="264"/>
      <c r="P55" s="229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</row>
    <row r="56" ht="14.25" customHeight="1">
      <c r="A56" s="142"/>
      <c r="B56" s="184"/>
      <c r="C56" s="254"/>
      <c r="D56" s="197" t="s">
        <v>367</v>
      </c>
      <c r="E56" s="197"/>
      <c r="F56" s="197"/>
      <c r="G56" s="198"/>
      <c r="H56" s="223"/>
      <c r="I56" s="255"/>
      <c r="J56" s="256"/>
      <c r="K56" s="257"/>
      <c r="L56" s="257"/>
      <c r="M56" s="259"/>
      <c r="N56" s="260"/>
      <c r="O56" s="256"/>
      <c r="P56" s="261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</row>
    <row r="57" ht="14.25" customHeight="1">
      <c r="A57" s="142"/>
      <c r="B57" s="184"/>
      <c r="C57" s="196"/>
      <c r="D57" s="196"/>
      <c r="E57" s="196" t="s">
        <v>368</v>
      </c>
      <c r="F57" s="206"/>
      <c r="G57" s="217" t="s">
        <v>232</v>
      </c>
      <c r="H57" s="262"/>
      <c r="I57" s="227">
        <v>46097.0</v>
      </c>
      <c r="J57" s="264">
        <v>46129.0</v>
      </c>
      <c r="K57" s="211">
        <f t="shared" ref="K57:K58" si="20">IF(OR(ISBLANK($I57), ISBLANK($J57)),"",NETWORKDAYS($I57,$J57))</f>
        <v>25</v>
      </c>
      <c r="L57" s="212">
        <f>IF(OR(ISBLANK($I57), ISBLANK($J57)), "", IF('진척율보고서'!$M$4 &lt; $I57, 0, IF('진척율보고서'!$M$4 &gt;= $J57, 1, NETWORKDAYS($I57,'진척율보고서'!$M$4)/$K57)))</f>
        <v>0.4</v>
      </c>
      <c r="M57" s="213" t="s">
        <v>369</v>
      </c>
      <c r="N57" s="214">
        <f t="shared" ref="N57:N58" si="21">IF($M57="완료",1,IF($M57="PM확인",0.95,IF($M57="PL확인",0.8,IF($M57="테스트",0.7,IF($M57="수행2단계",0.55,IF($M57="수행1단계",0.35,IF($M57="착수",0.2,IF($M57="미착수",0,""))))))))</f>
        <v>0.35</v>
      </c>
      <c r="O57" s="264">
        <v>46097.0</v>
      </c>
      <c r="P57" s="229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</row>
    <row r="58" ht="13.5" customHeight="1">
      <c r="A58" s="142" t="s">
        <v>313</v>
      </c>
      <c r="B58" s="184"/>
      <c r="C58" s="196"/>
      <c r="D58" s="196"/>
      <c r="E58" s="196" t="s">
        <v>370</v>
      </c>
      <c r="F58" s="206"/>
      <c r="G58" s="267" t="s">
        <v>168</v>
      </c>
      <c r="H58" s="262"/>
      <c r="I58" s="219">
        <v>46132.0</v>
      </c>
      <c r="J58" s="219">
        <v>46157.0</v>
      </c>
      <c r="K58" s="211">
        <f t="shared" si="20"/>
        <v>20</v>
      </c>
      <c r="L58" s="212">
        <f>IF(OR(ISBLANK($I58), ISBLANK($J58)), "", IF('진척율보고서'!$M$4 &lt; $I58, 0, IF('진척율보고서'!$M$4 &gt;= $J58, 1, NETWORKDAYS($I58,'진척율보고서'!$M$4)/$K58)))</f>
        <v>0</v>
      </c>
      <c r="M58" s="213" t="s">
        <v>163</v>
      </c>
      <c r="N58" s="214">
        <f t="shared" si="21"/>
        <v>0</v>
      </c>
      <c r="O58" s="264"/>
      <c r="P58" s="229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</row>
    <row r="59" ht="14.25" customHeight="1">
      <c r="A59" s="142"/>
      <c r="B59" s="184"/>
      <c r="C59" s="254"/>
      <c r="D59" s="197" t="s">
        <v>371</v>
      </c>
      <c r="E59" s="197"/>
      <c r="F59" s="197"/>
      <c r="G59" s="198"/>
      <c r="H59" s="223"/>
      <c r="I59" s="255"/>
      <c r="J59" s="256"/>
      <c r="K59" s="257"/>
      <c r="L59" s="257"/>
      <c r="M59" s="259"/>
      <c r="N59" s="260"/>
      <c r="O59" s="256"/>
      <c r="P59" s="261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ht="14.25" customHeight="1">
      <c r="A60" s="142"/>
      <c r="B60" s="184"/>
      <c r="C60" s="196"/>
      <c r="D60" s="196"/>
      <c r="E60" s="196" t="s">
        <v>372</v>
      </c>
      <c r="F60" s="206"/>
      <c r="G60" s="217" t="s">
        <v>232</v>
      </c>
      <c r="H60" s="262"/>
      <c r="I60" s="227">
        <v>46223.0</v>
      </c>
      <c r="J60" s="227">
        <v>46234.0</v>
      </c>
      <c r="K60" s="211">
        <f t="shared" ref="K60:K61" si="22">IF(OR(ISBLANK($I60), ISBLANK($J60)),"",NETWORKDAYS($I60,$J60))</f>
        <v>10</v>
      </c>
      <c r="L60" s="212">
        <f>IF(OR(ISBLANK($I60), ISBLANK($J60)), "", IF('진척율보고서'!$M$4 &lt; $I60, 0, IF('진척율보고서'!$M$4 &gt;= $J60, 1, NETWORKDAYS($I60,'진척율보고서'!$M$4)/$K60)))</f>
        <v>0</v>
      </c>
      <c r="M60" s="213" t="s">
        <v>163</v>
      </c>
      <c r="N60" s="214">
        <f t="shared" ref="N60:N61" si="23">IF($M60="완료",1,IF($M60="PM확인",0.95,IF($M60="PL확인",0.8,IF($M60="테스트",0.7,IF($M60="수행2단계",0.55,IF($M60="수행1단계",0.35,IF($M60="착수",0.2,IF($M60="미착수",0,""))))))))</f>
        <v>0</v>
      </c>
      <c r="O60" s="264"/>
      <c r="P60" s="229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</row>
    <row r="61" ht="14.25" customHeight="1">
      <c r="A61" s="142"/>
      <c r="B61" s="184"/>
      <c r="C61" s="196"/>
      <c r="D61" s="196"/>
      <c r="E61" s="196" t="s">
        <v>373</v>
      </c>
      <c r="F61" s="206"/>
      <c r="G61" s="267" t="s">
        <v>168</v>
      </c>
      <c r="H61" s="262"/>
      <c r="I61" s="227">
        <v>46237.0</v>
      </c>
      <c r="J61" s="227">
        <v>46255.0</v>
      </c>
      <c r="K61" s="211">
        <f t="shared" si="22"/>
        <v>15</v>
      </c>
      <c r="L61" s="212">
        <f>IF(OR(ISBLANK($I61), ISBLANK($J61)), "", IF('진척율보고서'!$M$4 &lt; $I61, 0, IF('진척율보고서'!$M$4 &gt;= $J61, 1, NETWORKDAYS($I61,'진척율보고서'!$M$4)/$K61)))</f>
        <v>0</v>
      </c>
      <c r="M61" s="213" t="s">
        <v>163</v>
      </c>
      <c r="N61" s="214">
        <f t="shared" si="23"/>
        <v>0</v>
      </c>
      <c r="O61" s="264"/>
      <c r="P61" s="229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</row>
    <row r="62" ht="14.25" customHeight="1">
      <c r="A62" s="142"/>
      <c r="B62" s="184"/>
      <c r="C62" s="254"/>
      <c r="D62" s="197" t="s">
        <v>374</v>
      </c>
      <c r="E62" s="197"/>
      <c r="F62" s="197"/>
      <c r="G62" s="198"/>
      <c r="H62" s="223"/>
      <c r="I62" s="255"/>
      <c r="J62" s="256"/>
      <c r="K62" s="257"/>
      <c r="L62" s="257"/>
      <c r="M62" s="259"/>
      <c r="N62" s="260"/>
      <c r="O62" s="256"/>
      <c r="P62" s="261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</row>
    <row r="63" ht="14.25" customHeight="1">
      <c r="A63" s="142"/>
      <c r="B63" s="184"/>
      <c r="C63" s="196"/>
      <c r="D63" s="196"/>
      <c r="E63" s="278" t="s">
        <v>375</v>
      </c>
      <c r="F63" s="206"/>
      <c r="G63" s="267" t="s">
        <v>232</v>
      </c>
      <c r="H63" s="262"/>
      <c r="I63" s="227">
        <v>46104.0</v>
      </c>
      <c r="J63" s="264">
        <v>46122.0</v>
      </c>
      <c r="K63" s="211">
        <f t="shared" ref="K63:K73" si="24">IF(OR(ISBLANK($I63), ISBLANK($J63)),"",NETWORKDAYS($I63,$J63))</f>
        <v>15</v>
      </c>
      <c r="L63" s="212">
        <f>IF(OR(ISBLANK($I63), ISBLANK($J63)), "", IF('진척율보고서'!$M$4 &lt; $I63, 0, IF('진척율보고서'!$M$4 &gt;= $J63, 1, NETWORKDAYS($I63,'진척율보고서'!$M$4)/$K63)))</f>
        <v>0.3333333333</v>
      </c>
      <c r="M63" s="213" t="s">
        <v>376</v>
      </c>
      <c r="N63" s="214">
        <f t="shared" ref="N63:N73" si="25">IF($M63="완료",1,IF($M63="PM확인",0.95,IF($M63="PL확인",0.8,IF($M63="테스트",0.7,IF($M63="수행2단계",0.55,IF($M63="수행1단계",0.35,IF($M63="착수",0.2,IF($M63="미착수",0,""))))))))</f>
        <v>0.2</v>
      </c>
      <c r="O63" s="264">
        <v>46104.0</v>
      </c>
      <c r="P63" s="229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</row>
    <row r="64" ht="13.5" customHeight="1">
      <c r="A64" s="233"/>
      <c r="B64" s="184"/>
      <c r="C64" s="196"/>
      <c r="D64" s="196"/>
      <c r="E64" s="278" t="s">
        <v>377</v>
      </c>
      <c r="F64" s="206"/>
      <c r="G64" s="267" t="s">
        <v>168</v>
      </c>
      <c r="H64" s="262"/>
      <c r="I64" s="227">
        <v>46125.0</v>
      </c>
      <c r="J64" s="264">
        <v>46136.0</v>
      </c>
      <c r="K64" s="211">
        <f t="shared" si="24"/>
        <v>10</v>
      </c>
      <c r="L64" s="212">
        <f>IF(OR(ISBLANK($I64), ISBLANK($J64)), "", IF('진척율보고서'!$M$4 &lt; $I64, 0, IF('진척율보고서'!$M$4 &gt;= $J64, 1, NETWORKDAYS($I64,'진척율보고서'!$M$4)/$K64)))</f>
        <v>0</v>
      </c>
      <c r="M64" s="213" t="s">
        <v>163</v>
      </c>
      <c r="N64" s="214">
        <f t="shared" si="25"/>
        <v>0</v>
      </c>
      <c r="O64" s="264"/>
      <c r="P64" s="229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</row>
    <row r="65" ht="13.5" customHeight="1">
      <c r="A65" s="142"/>
      <c r="B65" s="184"/>
      <c r="C65" s="196"/>
      <c r="D65" s="196"/>
      <c r="E65" s="278" t="s">
        <v>378</v>
      </c>
      <c r="F65" s="206"/>
      <c r="G65" s="267" t="s">
        <v>168</v>
      </c>
      <c r="H65" s="262"/>
      <c r="I65" s="227">
        <v>46139.0</v>
      </c>
      <c r="J65" s="264">
        <v>46171.0</v>
      </c>
      <c r="K65" s="211">
        <f t="shared" si="24"/>
        <v>25</v>
      </c>
      <c r="L65" s="212">
        <f>IF(OR(ISBLANK($I65), ISBLANK($J65)), "", IF('진척율보고서'!$M$4 &lt; $I65, 0, IF('진척율보고서'!$M$4 &gt;= $J65, 1, NETWORKDAYS($I65,'진척율보고서'!$M$4)/$K65)))</f>
        <v>0</v>
      </c>
      <c r="M65" s="213" t="s">
        <v>163</v>
      </c>
      <c r="N65" s="214">
        <f t="shared" si="25"/>
        <v>0</v>
      </c>
      <c r="O65" s="264"/>
      <c r="P65" s="229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</row>
    <row r="66" ht="13.5" customHeight="1">
      <c r="A66" s="142"/>
      <c r="B66" s="184"/>
      <c r="C66" s="196"/>
      <c r="D66" s="196"/>
      <c r="E66" s="278" t="s">
        <v>379</v>
      </c>
      <c r="F66" s="206"/>
      <c r="G66" s="267" t="s">
        <v>168</v>
      </c>
      <c r="H66" s="262"/>
      <c r="I66" s="227">
        <v>46139.0</v>
      </c>
      <c r="J66" s="264">
        <v>46171.0</v>
      </c>
      <c r="K66" s="211">
        <f t="shared" si="24"/>
        <v>25</v>
      </c>
      <c r="L66" s="212">
        <f>IF(OR(ISBLANK($I66), ISBLANK($J66)), "", IF('진척율보고서'!$M$4 &lt; $I66, 0, IF('진척율보고서'!$M$4 &gt;= $J66, 1, NETWORKDAYS($I66,'진척율보고서'!$M$4)/$K66)))</f>
        <v>0</v>
      </c>
      <c r="M66" s="213" t="s">
        <v>163</v>
      </c>
      <c r="N66" s="214">
        <f t="shared" si="25"/>
        <v>0</v>
      </c>
      <c r="O66" s="264"/>
      <c r="P66" s="229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</row>
    <row r="67" ht="13.5" customHeight="1">
      <c r="A67" s="142"/>
      <c r="B67" s="184"/>
      <c r="C67" s="196"/>
      <c r="D67" s="196"/>
      <c r="E67" s="278" t="s">
        <v>380</v>
      </c>
      <c r="F67" s="206"/>
      <c r="G67" s="267" t="s">
        <v>232</v>
      </c>
      <c r="H67" s="262"/>
      <c r="I67" s="227">
        <v>46125.0</v>
      </c>
      <c r="J67" s="264">
        <v>46143.0</v>
      </c>
      <c r="K67" s="211">
        <f t="shared" si="24"/>
        <v>15</v>
      </c>
      <c r="L67" s="212">
        <f>IF(OR(ISBLANK($I67), ISBLANK($J67)), "", IF('진척율보고서'!$M$4 &lt; $I67, 0, IF('진척율보고서'!$M$4 &gt;= $J67, 1, NETWORKDAYS($I67,'진척율보고서'!$M$4)/$K67)))</f>
        <v>0</v>
      </c>
      <c r="M67" s="213" t="s">
        <v>163</v>
      </c>
      <c r="N67" s="214">
        <f t="shared" si="25"/>
        <v>0</v>
      </c>
      <c r="O67" s="264"/>
      <c r="P67" s="229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</row>
    <row r="68" ht="13.5" customHeight="1">
      <c r="A68" s="142"/>
      <c r="B68" s="184"/>
      <c r="C68" s="284"/>
      <c r="D68" s="196"/>
      <c r="E68" s="278" t="s">
        <v>381</v>
      </c>
      <c r="F68" s="206"/>
      <c r="G68" s="267" t="s">
        <v>168</v>
      </c>
      <c r="H68" s="262"/>
      <c r="I68" s="227">
        <v>46223.0</v>
      </c>
      <c r="J68" s="264">
        <v>46234.0</v>
      </c>
      <c r="K68" s="211">
        <f t="shared" si="24"/>
        <v>10</v>
      </c>
      <c r="L68" s="212">
        <f>IF(OR(ISBLANK($I68), ISBLANK($J68)), "", IF('진척율보고서'!$M$4 &lt; $I68, 0, IF('진척율보고서'!$M$4 &gt;= $J68, 1, NETWORKDAYS($I68,'진척율보고서'!$M$4)/$K68)))</f>
        <v>0</v>
      </c>
      <c r="M68" s="213" t="s">
        <v>163</v>
      </c>
      <c r="N68" s="214">
        <f t="shared" si="25"/>
        <v>0</v>
      </c>
      <c r="O68" s="264"/>
      <c r="P68" s="229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</row>
    <row r="69" ht="13.5" customHeight="1">
      <c r="A69" s="142"/>
      <c r="B69" s="184"/>
      <c r="C69" s="196"/>
      <c r="D69" s="196"/>
      <c r="E69" s="278" t="s">
        <v>382</v>
      </c>
      <c r="F69" s="206"/>
      <c r="G69" s="267" t="s">
        <v>168</v>
      </c>
      <c r="H69" s="262"/>
      <c r="I69" s="227">
        <v>46174.0</v>
      </c>
      <c r="J69" s="227">
        <v>46192.0</v>
      </c>
      <c r="K69" s="211">
        <f t="shared" si="24"/>
        <v>15</v>
      </c>
      <c r="L69" s="212">
        <f>IF(OR(ISBLANK($I69), ISBLANK($J69)), "", IF('진척율보고서'!$M$4 &lt; $I69, 0, IF('진척율보고서'!$M$4 &gt;= $J69, 1, NETWORKDAYS($I69,'진척율보고서'!$M$4)/$K69)))</f>
        <v>0</v>
      </c>
      <c r="M69" s="213" t="s">
        <v>163</v>
      </c>
      <c r="N69" s="214">
        <f t="shared" si="25"/>
        <v>0</v>
      </c>
      <c r="O69" s="264"/>
      <c r="P69" s="229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</row>
    <row r="70" ht="13.5" customHeight="1">
      <c r="A70" s="142"/>
      <c r="B70" s="184"/>
      <c r="C70" s="196"/>
      <c r="D70" s="196"/>
      <c r="E70" s="278" t="s">
        <v>383</v>
      </c>
      <c r="F70" s="206"/>
      <c r="G70" s="267" t="s">
        <v>168</v>
      </c>
      <c r="H70" s="262"/>
      <c r="I70" s="227">
        <v>46195.0</v>
      </c>
      <c r="J70" s="264">
        <v>46220.0</v>
      </c>
      <c r="K70" s="211">
        <f t="shared" si="24"/>
        <v>20</v>
      </c>
      <c r="L70" s="212">
        <f>IF(OR(ISBLANK($I70), ISBLANK($J70)), "", IF('진척율보고서'!$M$4 &lt; $I70, 0, IF('진척율보고서'!$M$4 &gt;= $J70, 1, NETWORKDAYS($I70,'진척율보고서'!$M$4)/$K70)))</f>
        <v>0</v>
      </c>
      <c r="M70" s="213" t="s">
        <v>163</v>
      </c>
      <c r="N70" s="214">
        <f t="shared" si="25"/>
        <v>0</v>
      </c>
      <c r="O70" s="264"/>
      <c r="P70" s="229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</row>
    <row r="71" ht="13.5" customHeight="1">
      <c r="A71" s="142"/>
      <c r="B71" s="184"/>
      <c r="C71" s="196"/>
      <c r="D71" s="196"/>
      <c r="E71" s="278" t="s">
        <v>384</v>
      </c>
      <c r="F71" s="206"/>
      <c r="G71" s="267" t="s">
        <v>168</v>
      </c>
      <c r="H71" s="262"/>
      <c r="I71" s="227">
        <v>46195.0</v>
      </c>
      <c r="J71" s="264">
        <v>46220.0</v>
      </c>
      <c r="K71" s="211">
        <f t="shared" si="24"/>
        <v>20</v>
      </c>
      <c r="L71" s="212">
        <f>IF(OR(ISBLANK($I71), ISBLANK($J71)), "", IF('진척율보고서'!$M$4 &lt; $I71, 0, IF('진척율보고서'!$M$4 &gt;= $J71, 1, NETWORKDAYS($I71,'진척율보고서'!$M$4)/$K71)))</f>
        <v>0</v>
      </c>
      <c r="M71" s="213" t="s">
        <v>163</v>
      </c>
      <c r="N71" s="214">
        <f t="shared" si="25"/>
        <v>0</v>
      </c>
      <c r="O71" s="264"/>
      <c r="P71" s="229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</row>
    <row r="72" ht="13.5" customHeight="1">
      <c r="A72" s="142"/>
      <c r="B72" s="184"/>
      <c r="C72" s="196"/>
      <c r="D72" s="196"/>
      <c r="E72" s="278" t="s">
        <v>385</v>
      </c>
      <c r="F72" s="206"/>
      <c r="G72" s="267" t="s">
        <v>168</v>
      </c>
      <c r="H72" s="262"/>
      <c r="I72" s="227">
        <v>46174.0</v>
      </c>
      <c r="J72" s="227">
        <v>46192.0</v>
      </c>
      <c r="K72" s="211">
        <f t="shared" si="24"/>
        <v>15</v>
      </c>
      <c r="L72" s="212">
        <f>IF(OR(ISBLANK($I72), ISBLANK($J72)), "", IF('진척율보고서'!$M$4 &lt; $I72, 0, IF('진척율보고서'!$M$4 &gt;= $J72, 1, NETWORKDAYS($I72,'진척율보고서'!$M$4)/$K72)))</f>
        <v>0</v>
      </c>
      <c r="M72" s="213" t="s">
        <v>163</v>
      </c>
      <c r="N72" s="214">
        <f t="shared" si="25"/>
        <v>0</v>
      </c>
      <c r="O72" s="264"/>
      <c r="P72" s="229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</row>
    <row r="73" ht="13.5" customHeight="1">
      <c r="A73" s="142"/>
      <c r="B73" s="184"/>
      <c r="C73" s="196"/>
      <c r="D73" s="285"/>
      <c r="E73" s="196" t="s">
        <v>386</v>
      </c>
      <c r="F73" s="206"/>
      <c r="G73" s="267" t="s">
        <v>168</v>
      </c>
      <c r="H73" s="262"/>
      <c r="I73" s="227">
        <v>46174.0</v>
      </c>
      <c r="J73" s="264">
        <v>46203.0</v>
      </c>
      <c r="K73" s="211">
        <f t="shared" si="24"/>
        <v>22</v>
      </c>
      <c r="L73" s="212">
        <f>IF(OR(ISBLANK($I73), ISBLANK($J73)), "", IF('진척율보고서'!$M$4 &lt; $I73, 0, IF('진척율보고서'!$M$4 &gt;= $J73, 1, NETWORKDAYS($I73,'진척율보고서'!$M$4)/$K73)))</f>
        <v>0</v>
      </c>
      <c r="M73" s="213" t="s">
        <v>163</v>
      </c>
      <c r="N73" s="214">
        <f t="shared" si="25"/>
        <v>0</v>
      </c>
      <c r="O73" s="264"/>
      <c r="P73" s="229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</row>
    <row r="74" ht="13.5" customHeight="1">
      <c r="A74" s="142"/>
      <c r="B74" s="184"/>
      <c r="C74" s="254"/>
      <c r="D74" s="286" t="s">
        <v>387</v>
      </c>
      <c r="E74" s="197"/>
      <c r="F74" s="197"/>
      <c r="G74" s="198"/>
      <c r="H74" s="223"/>
      <c r="I74" s="255"/>
      <c r="J74" s="256"/>
      <c r="K74" s="257"/>
      <c r="L74" s="257"/>
      <c r="M74" s="259"/>
      <c r="N74" s="260"/>
      <c r="O74" s="256"/>
      <c r="P74" s="261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</row>
    <row r="75" ht="13.5" customHeight="1">
      <c r="A75" s="142" t="s">
        <v>388</v>
      </c>
      <c r="B75" s="184"/>
      <c r="C75" s="196"/>
      <c r="D75" s="196"/>
      <c r="E75" s="278" t="s">
        <v>389</v>
      </c>
      <c r="F75" s="206"/>
      <c r="G75" s="267" t="s">
        <v>232</v>
      </c>
      <c r="H75" s="262"/>
      <c r="I75" s="227">
        <v>46104.0</v>
      </c>
      <c r="J75" s="264">
        <v>46122.0</v>
      </c>
      <c r="K75" s="211">
        <f t="shared" ref="K75:K81" si="26">IF(OR(ISBLANK($I75), ISBLANK($J75)),"",NETWORKDAYS($I75,$J75))</f>
        <v>15</v>
      </c>
      <c r="L75" s="212">
        <f>IF(OR(ISBLANK($I75), ISBLANK($J75)), "", IF('진척율보고서'!$M$4 &lt; $I75, 0, IF('진척율보고서'!$M$4 &gt;= $J75, 1, NETWORKDAYS($I75,'진척율보고서'!$M$4)/$K75)))</f>
        <v>0.3333333333</v>
      </c>
      <c r="M75" s="213" t="s">
        <v>376</v>
      </c>
      <c r="N75" s="214">
        <f t="shared" ref="N75:N81" si="27">IF($M75="완료",1,IF($M75="PM확인",0.95,IF($M75="PL확인",0.8,IF($M75="테스트",0.7,IF($M75="수행2단계",0.55,IF($M75="수행1단계",0.35,IF($M75="착수",0.2,IF($M75="미착수",0,""))))))))</f>
        <v>0.2</v>
      </c>
      <c r="O75" s="264">
        <v>46104.0</v>
      </c>
      <c r="P75" s="229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</row>
    <row r="76" ht="13.5" customHeight="1">
      <c r="A76" s="142"/>
      <c r="B76" s="184"/>
      <c r="C76" s="196"/>
      <c r="D76" s="196"/>
      <c r="E76" s="278" t="s">
        <v>390</v>
      </c>
      <c r="F76" s="196"/>
      <c r="G76" s="267" t="s">
        <v>168</v>
      </c>
      <c r="H76" s="262"/>
      <c r="I76" s="227">
        <v>46139.0</v>
      </c>
      <c r="J76" s="264">
        <v>46171.0</v>
      </c>
      <c r="K76" s="211">
        <f t="shared" si="26"/>
        <v>25</v>
      </c>
      <c r="L76" s="212">
        <f>IF(OR(ISBLANK($I76), ISBLANK($J76)), "", IF('진척율보고서'!$M$4 &lt; $I76, 0, IF('진척율보고서'!$M$4 &gt;= $J76, 1, NETWORKDAYS($I76,'진척율보고서'!$M$4)/$K76)))</f>
        <v>0</v>
      </c>
      <c r="M76" s="213" t="s">
        <v>163</v>
      </c>
      <c r="N76" s="214">
        <f t="shared" si="27"/>
        <v>0</v>
      </c>
      <c r="O76" s="264"/>
      <c r="P76" s="229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</row>
    <row r="77" ht="13.5" customHeight="1">
      <c r="A77" s="142"/>
      <c r="B77" s="184"/>
      <c r="C77" s="196"/>
      <c r="D77" s="196"/>
      <c r="E77" s="278" t="s">
        <v>391</v>
      </c>
      <c r="F77" s="196"/>
      <c r="G77" s="267" t="s">
        <v>168</v>
      </c>
      <c r="H77" s="262"/>
      <c r="I77" s="227">
        <v>46139.0</v>
      </c>
      <c r="J77" s="264">
        <v>46171.0</v>
      </c>
      <c r="K77" s="211">
        <f t="shared" si="26"/>
        <v>25</v>
      </c>
      <c r="L77" s="212">
        <f>IF(OR(ISBLANK($I77), ISBLANK($J77)), "", IF('진척율보고서'!$M$4 &lt; $I77, 0, IF('진척율보고서'!$M$4 &gt;= $J77, 1, NETWORKDAYS($I77,'진척율보고서'!$M$4)/$K77)))</f>
        <v>0</v>
      </c>
      <c r="M77" s="213" t="s">
        <v>163</v>
      </c>
      <c r="N77" s="214">
        <f t="shared" si="27"/>
        <v>0</v>
      </c>
      <c r="O77" s="264"/>
      <c r="P77" s="229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</row>
    <row r="78" ht="13.5" customHeight="1">
      <c r="A78" s="142"/>
      <c r="B78" s="184"/>
      <c r="C78" s="196"/>
      <c r="D78" s="196"/>
      <c r="E78" s="278" t="s">
        <v>392</v>
      </c>
      <c r="F78" s="206"/>
      <c r="G78" s="267" t="s">
        <v>232</v>
      </c>
      <c r="H78" s="262"/>
      <c r="I78" s="227">
        <v>46125.0</v>
      </c>
      <c r="J78" s="264">
        <v>46143.0</v>
      </c>
      <c r="K78" s="211">
        <f t="shared" si="26"/>
        <v>15</v>
      </c>
      <c r="L78" s="212">
        <f>IF(OR(ISBLANK($I78), ISBLANK($J78)), "", IF('진척율보고서'!$M$4 &lt; $I78, 0, IF('진척율보고서'!$M$4 &gt;= $J78, 1, NETWORKDAYS($I78,'진척율보고서'!$M$4)/$K78)))</f>
        <v>0</v>
      </c>
      <c r="M78" s="213" t="s">
        <v>163</v>
      </c>
      <c r="N78" s="214">
        <f t="shared" si="27"/>
        <v>0</v>
      </c>
      <c r="O78" s="264"/>
      <c r="P78" s="229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</row>
    <row r="79" ht="13.5" customHeight="1">
      <c r="A79" s="142"/>
      <c r="B79" s="184"/>
      <c r="C79" s="284"/>
      <c r="D79" s="196"/>
      <c r="E79" s="278" t="s">
        <v>393</v>
      </c>
      <c r="F79" s="206"/>
      <c r="G79" s="267" t="s">
        <v>168</v>
      </c>
      <c r="H79" s="262"/>
      <c r="I79" s="227">
        <v>46223.0</v>
      </c>
      <c r="J79" s="264">
        <v>46234.0</v>
      </c>
      <c r="K79" s="211">
        <f t="shared" si="26"/>
        <v>10</v>
      </c>
      <c r="L79" s="212">
        <f>IF(OR(ISBLANK($I79), ISBLANK($J79)), "", IF('진척율보고서'!$M$4 &lt; $I79, 0, IF('진척율보고서'!$M$4 &gt;= $J79, 1, NETWORKDAYS($I79,'진척율보고서'!$M$4)/$K79)))</f>
        <v>0</v>
      </c>
      <c r="M79" s="213" t="s">
        <v>163</v>
      </c>
      <c r="N79" s="214">
        <f t="shared" si="27"/>
        <v>0</v>
      </c>
      <c r="O79" s="264"/>
      <c r="P79" s="229"/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</row>
    <row r="80" ht="13.5" customHeight="1">
      <c r="A80" s="142"/>
      <c r="B80" s="184"/>
      <c r="C80" s="196"/>
      <c r="D80" s="196"/>
      <c r="E80" s="278" t="s">
        <v>394</v>
      </c>
      <c r="F80" s="196"/>
      <c r="G80" s="267" t="s">
        <v>168</v>
      </c>
      <c r="H80" s="262"/>
      <c r="I80" s="227">
        <v>46174.0</v>
      </c>
      <c r="J80" s="227">
        <v>46192.0</v>
      </c>
      <c r="K80" s="211">
        <f t="shared" si="26"/>
        <v>15</v>
      </c>
      <c r="L80" s="212">
        <f>IF(OR(ISBLANK($I80), ISBLANK($J80)), "", IF('진척율보고서'!$M$4 &lt; $I80, 0, IF('진척율보고서'!$M$4 &gt;= $J80, 1, NETWORKDAYS($I80,'진척율보고서'!$M$4)/$K80)))</f>
        <v>0</v>
      </c>
      <c r="M80" s="213" t="s">
        <v>163</v>
      </c>
      <c r="N80" s="214">
        <f t="shared" si="27"/>
        <v>0</v>
      </c>
      <c r="O80" s="264"/>
      <c r="P80" s="229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</row>
    <row r="81" ht="13.5" customHeight="1">
      <c r="A81" s="142"/>
      <c r="B81" s="184"/>
      <c r="C81" s="284"/>
      <c r="D81" s="196"/>
      <c r="E81" s="278" t="s">
        <v>395</v>
      </c>
      <c r="F81" s="206"/>
      <c r="G81" s="267" t="s">
        <v>168</v>
      </c>
      <c r="H81" s="262"/>
      <c r="I81" s="227">
        <v>46174.0</v>
      </c>
      <c r="J81" s="264">
        <v>46192.0</v>
      </c>
      <c r="K81" s="211">
        <f t="shared" si="26"/>
        <v>15</v>
      </c>
      <c r="L81" s="212">
        <f>IF(OR(ISBLANK($I81), ISBLANK($J81)), "", IF('진척율보고서'!$M$4 &lt; $I81, 0, IF('진척율보고서'!$M$4 &gt;= $J81, 1, NETWORKDAYS($I81,'진척율보고서'!$M$4)/$K81)))</f>
        <v>0</v>
      </c>
      <c r="M81" s="213" t="s">
        <v>163</v>
      </c>
      <c r="N81" s="214">
        <f t="shared" si="27"/>
        <v>0</v>
      </c>
      <c r="O81" s="264"/>
      <c r="P81" s="229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</row>
    <row r="82" ht="13.5" customHeight="1">
      <c r="A82" s="142"/>
      <c r="B82" s="184"/>
      <c r="C82" s="254"/>
      <c r="D82" s="197" t="s">
        <v>396</v>
      </c>
      <c r="E82" s="197"/>
      <c r="F82" s="197"/>
      <c r="G82" s="198"/>
      <c r="H82" s="223"/>
      <c r="I82" s="255"/>
      <c r="J82" s="256"/>
      <c r="K82" s="257"/>
      <c r="L82" s="257"/>
      <c r="M82" s="259"/>
      <c r="N82" s="260"/>
      <c r="O82" s="256"/>
      <c r="P82" s="261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</row>
    <row r="83" ht="13.5" customHeight="1">
      <c r="A83" s="142"/>
      <c r="B83" s="184"/>
      <c r="C83" s="196"/>
      <c r="D83" s="196"/>
      <c r="E83" s="196" t="s">
        <v>397</v>
      </c>
      <c r="F83" s="206"/>
      <c r="G83" s="217" t="s">
        <v>232</v>
      </c>
      <c r="H83" s="262"/>
      <c r="I83" s="227">
        <v>46237.0</v>
      </c>
      <c r="J83" s="227">
        <v>46255.0</v>
      </c>
      <c r="K83" s="211">
        <f t="shared" ref="K83:K84" si="28">IF(OR(ISBLANK($I83), ISBLANK($J83)),"",NETWORKDAYS($I83,$J83))</f>
        <v>15</v>
      </c>
      <c r="L83" s="212">
        <f>IF(OR(ISBLANK($I83), ISBLANK($J83)), "", IF('진척율보고서'!$M$4 &lt; $I83, 0, IF('진척율보고서'!$M$4 &gt;= $J83, 1, NETWORKDAYS($I83,'진척율보고서'!$M$4)/$K83)))</f>
        <v>0</v>
      </c>
      <c r="M83" s="213" t="s">
        <v>163</v>
      </c>
      <c r="N83" s="214">
        <f t="shared" ref="N83:N84" si="29">IF($M83="완료",1,IF($M83="PM확인",0.95,IF($M83="PL확인",0.8,IF($M83="테스트",0.7,IF($M83="수행2단계",0.55,IF($M83="수행1단계",0.35,IF($M83="착수",0.2,IF($M83="미착수",0,""))))))))</f>
        <v>0</v>
      </c>
      <c r="O83" s="264"/>
      <c r="P83" s="229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</row>
    <row r="84" ht="13.5" customHeight="1">
      <c r="A84" s="142"/>
      <c r="B84" s="184"/>
      <c r="C84" s="196"/>
      <c r="D84" s="196"/>
      <c r="E84" s="196" t="s">
        <v>398</v>
      </c>
      <c r="F84" s="206"/>
      <c r="G84" s="267" t="s">
        <v>168</v>
      </c>
      <c r="H84" s="262"/>
      <c r="I84" s="227">
        <v>46258.0</v>
      </c>
      <c r="J84" s="227">
        <v>46295.0</v>
      </c>
      <c r="K84" s="211">
        <f t="shared" si="28"/>
        <v>28</v>
      </c>
      <c r="L84" s="212">
        <f>IF(OR(ISBLANK($I84), ISBLANK($J84)), "", IF('진척율보고서'!$M$4 &lt; $I84, 0, IF('진척율보고서'!$M$4 &gt;= $J84, 1, NETWORKDAYS($I84,'진척율보고서'!$M$4)/$K84)))</f>
        <v>0</v>
      </c>
      <c r="M84" s="213" t="s">
        <v>163</v>
      </c>
      <c r="N84" s="214">
        <f t="shared" si="29"/>
        <v>0</v>
      </c>
      <c r="O84" s="264"/>
      <c r="P84" s="229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</row>
    <row r="85" ht="13.5" customHeight="1">
      <c r="A85" s="142"/>
      <c r="B85" s="184"/>
      <c r="C85" s="254"/>
      <c r="D85" s="197" t="s">
        <v>399</v>
      </c>
      <c r="E85" s="197"/>
      <c r="F85" s="197"/>
      <c r="G85" s="198"/>
      <c r="H85" s="223"/>
      <c r="I85" s="255"/>
      <c r="J85" s="256"/>
      <c r="K85" s="257"/>
      <c r="L85" s="257"/>
      <c r="M85" s="259"/>
      <c r="N85" s="260"/>
      <c r="O85" s="256"/>
      <c r="P85" s="261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</row>
    <row r="86" ht="13.5" customHeight="1">
      <c r="A86" s="142"/>
      <c r="B86" s="184"/>
      <c r="C86" s="196"/>
      <c r="D86" s="196"/>
      <c r="E86" s="268" t="s">
        <v>400</v>
      </c>
      <c r="F86" s="269"/>
      <c r="G86" s="270"/>
      <c r="H86" s="271"/>
      <c r="I86" s="272"/>
      <c r="J86" s="273"/>
      <c r="K86" s="274"/>
      <c r="L86" s="274"/>
      <c r="M86" s="275"/>
      <c r="N86" s="276"/>
      <c r="O86" s="273"/>
      <c r="P86" s="277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</row>
    <row r="87" ht="13.5" customHeight="1">
      <c r="A87" s="142"/>
      <c r="B87" s="184"/>
      <c r="C87" s="196"/>
      <c r="D87" s="196"/>
      <c r="E87" s="278" t="s">
        <v>401</v>
      </c>
      <c r="F87" s="206"/>
      <c r="G87" s="217" t="s">
        <v>232</v>
      </c>
      <c r="H87" s="262"/>
      <c r="I87" s="227">
        <v>46174.0</v>
      </c>
      <c r="J87" s="227">
        <v>46192.0</v>
      </c>
      <c r="K87" s="211">
        <f t="shared" ref="K87:K88" si="30">IF(OR(ISBLANK($I87), ISBLANK($J87)),"",NETWORKDAYS($I87,$J87))</f>
        <v>15</v>
      </c>
      <c r="L87" s="212">
        <f>IF(OR(ISBLANK($I87), ISBLANK($J87)), "", IF('진척율보고서'!$M$4 &lt; $I87, 0, IF('진척율보고서'!$M$4 &gt;= $J87, 1, NETWORKDAYS($I87,'진척율보고서'!$M$4)/$K87)))</f>
        <v>0</v>
      </c>
      <c r="M87" s="213" t="s">
        <v>163</v>
      </c>
      <c r="N87" s="214">
        <f t="shared" ref="N87:N88" si="31">IF($M87="완료",1,IF($M87="PM확인",0.95,IF($M87="PL확인",0.8,IF($M87="테스트",0.7,IF($M87="수행2단계",0.55,IF($M87="수행1단계",0.35,IF($M87="착수",0.2,IF($M87="미착수",0,""))))))))</f>
        <v>0</v>
      </c>
      <c r="O87" s="264"/>
      <c r="P87" s="229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</row>
    <row r="88" ht="13.5" customHeight="1">
      <c r="A88" s="142"/>
      <c r="B88" s="184"/>
      <c r="C88" s="196"/>
      <c r="D88" s="196"/>
      <c r="E88" s="278" t="s">
        <v>402</v>
      </c>
      <c r="F88" s="206"/>
      <c r="G88" s="267" t="s">
        <v>168</v>
      </c>
      <c r="H88" s="262"/>
      <c r="I88" s="227">
        <v>46195.0</v>
      </c>
      <c r="J88" s="227">
        <v>46220.0</v>
      </c>
      <c r="K88" s="211">
        <f t="shared" si="30"/>
        <v>20</v>
      </c>
      <c r="L88" s="212">
        <f>IF(OR(ISBLANK($I88), ISBLANK($J88)), "", IF('진척율보고서'!$M$4 &lt; $I88, 0, IF('진척율보고서'!$M$4 &gt;= $J88, 1, NETWORKDAYS($I88,'진척율보고서'!$M$4)/$K88)))</f>
        <v>0</v>
      </c>
      <c r="M88" s="213" t="s">
        <v>163</v>
      </c>
      <c r="N88" s="214">
        <f t="shared" si="31"/>
        <v>0</v>
      </c>
      <c r="O88" s="264"/>
      <c r="P88" s="229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</row>
    <row r="89" ht="13.5" customHeight="1">
      <c r="A89" s="142"/>
      <c r="B89" s="184"/>
      <c r="C89" s="196"/>
      <c r="D89" s="196"/>
      <c r="E89" s="268" t="s">
        <v>403</v>
      </c>
      <c r="F89" s="269"/>
      <c r="G89" s="270"/>
      <c r="H89" s="271"/>
      <c r="I89" s="272"/>
      <c r="J89" s="273"/>
      <c r="K89" s="274"/>
      <c r="L89" s="274"/>
      <c r="M89" s="275"/>
      <c r="N89" s="276"/>
      <c r="O89" s="273"/>
      <c r="P89" s="277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</row>
    <row r="90" ht="13.5" customHeight="1">
      <c r="A90" s="142"/>
      <c r="B90" s="184"/>
      <c r="C90" s="196"/>
      <c r="D90" s="196"/>
      <c r="E90" s="278" t="s">
        <v>404</v>
      </c>
      <c r="F90" s="206"/>
      <c r="G90" s="217" t="s">
        <v>232</v>
      </c>
      <c r="H90" s="262"/>
      <c r="I90" s="227">
        <v>46072.0</v>
      </c>
      <c r="J90" s="264">
        <v>46171.0</v>
      </c>
      <c r="K90" s="211">
        <f t="shared" ref="K90:K93" si="32">IF(OR(ISBLANK($I90), ISBLANK($J90)),"",NETWORKDAYS($I90,$J90))</f>
        <v>72</v>
      </c>
      <c r="L90" s="212">
        <f>IF(OR(ISBLANK($I90), ISBLANK($J90)), "", IF('진척율보고서'!$M$4 &lt; $I90, 0, IF('진척율보고서'!$M$4 &gt;= $J90, 1, NETWORKDAYS($I90,'진척율보고서'!$M$4)/$K90)))</f>
        <v>0.375</v>
      </c>
      <c r="M90" s="213" t="s">
        <v>376</v>
      </c>
      <c r="N90" s="214">
        <f t="shared" ref="N90:N93" si="33">IF($M90="완료",1,IF($M90="PM확인",0.95,IF($M90="PL확인",0.8,IF($M90="테스트",0.7,IF($M90="수행2단계",0.55,IF($M90="수행1단계",0.35,IF($M90="착수",0.2,IF($M90="미착수",0,""))))))))</f>
        <v>0.2</v>
      </c>
      <c r="O90" s="227">
        <v>46059.0</v>
      </c>
      <c r="P90" s="229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</row>
    <row r="91" ht="13.5" customHeight="1">
      <c r="A91" s="142"/>
      <c r="B91" s="184"/>
      <c r="C91" s="196"/>
      <c r="D91" s="196"/>
      <c r="E91" s="278" t="s">
        <v>405</v>
      </c>
      <c r="F91" s="206"/>
      <c r="G91" s="267" t="s">
        <v>168</v>
      </c>
      <c r="H91" s="262"/>
      <c r="I91" s="227">
        <v>46174.0</v>
      </c>
      <c r="J91" s="227">
        <v>46192.0</v>
      </c>
      <c r="K91" s="211">
        <f t="shared" si="32"/>
        <v>15</v>
      </c>
      <c r="L91" s="212">
        <f>IF(OR(ISBLANK($I91), ISBLANK($J91)), "", IF('진척율보고서'!$M$4 &lt; $I91, 0, IF('진척율보고서'!$M$4 &gt;= $J91, 1, NETWORKDAYS($I91,'진척율보고서'!$M$4)/$K91)))</f>
        <v>0</v>
      </c>
      <c r="M91" s="213" t="s">
        <v>163</v>
      </c>
      <c r="N91" s="214">
        <f t="shared" si="33"/>
        <v>0</v>
      </c>
      <c r="O91" s="264"/>
      <c r="P91" s="229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</row>
    <row r="92" ht="13.5" customHeight="1">
      <c r="A92" s="142"/>
      <c r="B92" s="184"/>
      <c r="C92" s="196"/>
      <c r="D92" s="196"/>
      <c r="E92" s="278" t="s">
        <v>406</v>
      </c>
      <c r="F92" s="206"/>
      <c r="G92" s="267" t="s">
        <v>168</v>
      </c>
      <c r="H92" s="262"/>
      <c r="I92" s="227">
        <v>46174.0</v>
      </c>
      <c r="J92" s="227">
        <v>46192.0</v>
      </c>
      <c r="K92" s="211">
        <f t="shared" si="32"/>
        <v>15</v>
      </c>
      <c r="L92" s="212">
        <f>IF(OR(ISBLANK($I92), ISBLANK($J92)), "", IF('진척율보고서'!$M$4 &lt; $I92, 0, IF('진척율보고서'!$M$4 &gt;= $J92, 1, NETWORKDAYS($I92,'진척율보고서'!$M$4)/$K92)))</f>
        <v>0</v>
      </c>
      <c r="M92" s="213" t="s">
        <v>163</v>
      </c>
      <c r="N92" s="214">
        <f t="shared" si="33"/>
        <v>0</v>
      </c>
      <c r="O92" s="264"/>
      <c r="P92" s="229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</row>
    <row r="93" ht="13.5" customHeight="1">
      <c r="A93" s="142"/>
      <c r="B93" s="184"/>
      <c r="C93" s="196"/>
      <c r="D93" s="196"/>
      <c r="E93" s="278" t="s">
        <v>407</v>
      </c>
      <c r="F93" s="206"/>
      <c r="G93" s="267" t="s">
        <v>168</v>
      </c>
      <c r="H93" s="262"/>
      <c r="I93" s="227">
        <v>46174.0</v>
      </c>
      <c r="J93" s="227">
        <v>46192.0</v>
      </c>
      <c r="K93" s="211">
        <f t="shared" si="32"/>
        <v>15</v>
      </c>
      <c r="L93" s="212">
        <f>IF(OR(ISBLANK($I93), ISBLANK($J93)), "", IF('진척율보고서'!$M$4 &lt; $I93, 0, IF('진척율보고서'!$M$4 &gt;= $J93, 1, NETWORKDAYS($I93,'진척율보고서'!$M$4)/$K93)))</f>
        <v>0</v>
      </c>
      <c r="M93" s="213" t="s">
        <v>163</v>
      </c>
      <c r="N93" s="214">
        <f t="shared" si="33"/>
        <v>0</v>
      </c>
      <c r="O93" s="264"/>
      <c r="P93" s="229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</row>
    <row r="94" ht="13.5" customHeight="1">
      <c r="A94" s="142"/>
      <c r="B94" s="184"/>
      <c r="C94" s="254"/>
      <c r="D94" s="197" t="s">
        <v>408</v>
      </c>
      <c r="E94" s="197"/>
      <c r="F94" s="197"/>
      <c r="G94" s="198"/>
      <c r="H94" s="223"/>
      <c r="I94" s="255"/>
      <c r="J94" s="256"/>
      <c r="K94" s="257"/>
      <c r="L94" s="257"/>
      <c r="M94" s="259"/>
      <c r="N94" s="260"/>
      <c r="O94" s="256"/>
      <c r="P94" s="261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</row>
    <row r="95" ht="13.5" customHeight="1">
      <c r="A95" s="142"/>
      <c r="B95" s="184"/>
      <c r="C95" s="196"/>
      <c r="D95" s="196"/>
      <c r="E95" s="196" t="s">
        <v>409</v>
      </c>
      <c r="F95" s="206"/>
      <c r="G95" s="217" t="s">
        <v>232</v>
      </c>
      <c r="H95" s="262"/>
      <c r="I95" s="219">
        <v>46084.0</v>
      </c>
      <c r="J95" s="264">
        <v>46142.0</v>
      </c>
      <c r="K95" s="211">
        <f t="shared" ref="K95:K96" si="34">IF(OR(ISBLANK($I95), ISBLANK($J95)),"",NETWORKDAYS($I95,$J95))</f>
        <v>43</v>
      </c>
      <c r="L95" s="212">
        <f>IF(OR(ISBLANK($I95), ISBLANK($J95)), "", IF('진척율보고서'!$M$4 &lt; $I95, 0, IF('진척율보고서'!$M$4 &gt;= $J95, 1, NETWORKDAYS($I95,'진척율보고서'!$M$4)/$K95)))</f>
        <v>0.4418604651</v>
      </c>
      <c r="M95" s="213" t="s">
        <v>369</v>
      </c>
      <c r="N95" s="214">
        <f t="shared" ref="N95:N96" si="35">IF($M95="완료",1,IF($M95="PM확인",0.95,IF($M95="PL확인",0.8,IF($M95="테스트",0.7,IF($M95="수행2단계",0.55,IF($M95="수행1단계",0.35,IF($M95="착수",0.2,IF($M95="미착수",0,""))))))))</f>
        <v>0.35</v>
      </c>
      <c r="O95" s="264">
        <v>46084.0</v>
      </c>
      <c r="P95" s="229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</row>
    <row r="96" ht="13.5" customHeight="1">
      <c r="A96" s="142"/>
      <c r="B96" s="184"/>
      <c r="C96" s="196"/>
      <c r="D96" s="196"/>
      <c r="E96" s="287" t="s">
        <v>410</v>
      </c>
      <c r="F96" s="206"/>
      <c r="G96" s="217" t="s">
        <v>232</v>
      </c>
      <c r="H96" s="262"/>
      <c r="I96" s="227">
        <v>46084.0</v>
      </c>
      <c r="J96" s="227">
        <v>46142.0</v>
      </c>
      <c r="K96" s="211">
        <f t="shared" si="34"/>
        <v>43</v>
      </c>
      <c r="L96" s="212">
        <f>IF(OR(ISBLANK($I96), ISBLANK($J96)), "", IF('진척율보고서'!$M$4 &lt; $I96, 0, IF('진척율보고서'!$M$4 &gt;= $J96, 1, NETWORKDAYS($I96,'진척율보고서'!$M$4)/$K96)))</f>
        <v>0.4418604651</v>
      </c>
      <c r="M96" s="213" t="s">
        <v>369</v>
      </c>
      <c r="N96" s="214">
        <f t="shared" si="35"/>
        <v>0.35</v>
      </c>
      <c r="O96" s="264">
        <v>46084.0</v>
      </c>
      <c r="P96" s="229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</row>
    <row r="97" ht="13.5" customHeight="1">
      <c r="A97" s="142"/>
      <c r="B97" s="184"/>
      <c r="C97" s="196"/>
      <c r="D97" s="196"/>
      <c r="E97" s="268" t="s">
        <v>411</v>
      </c>
      <c r="F97" s="269"/>
      <c r="G97" s="270"/>
      <c r="H97" s="271"/>
      <c r="I97" s="272"/>
      <c r="J97" s="273"/>
      <c r="K97" s="274"/>
      <c r="L97" s="274"/>
      <c r="M97" s="275"/>
      <c r="N97" s="276"/>
      <c r="O97" s="273"/>
      <c r="P97" s="277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</row>
    <row r="98" ht="13.5" customHeight="1">
      <c r="A98" s="142"/>
      <c r="B98" s="184"/>
      <c r="C98" s="196"/>
      <c r="D98" s="196"/>
      <c r="E98" s="278" t="s">
        <v>412</v>
      </c>
      <c r="F98" s="206"/>
      <c r="G98" s="217" t="s">
        <v>232</v>
      </c>
      <c r="H98" s="262"/>
      <c r="I98" s="219">
        <v>46084.0</v>
      </c>
      <c r="J98" s="288">
        <v>46136.0</v>
      </c>
      <c r="K98" s="211">
        <f t="shared" ref="K98:K99" si="36">IF(OR(ISBLANK($I98), ISBLANK($J98)),"",NETWORKDAYS($I98,$J98))</f>
        <v>39</v>
      </c>
      <c r="L98" s="212">
        <f>IF(OR(ISBLANK($I98), ISBLANK($J98)), "", IF('진척율보고서'!$M$4 &lt; $I98, 0, IF('진척율보고서'!$M$4 &gt;= $J98, 1, NETWORKDAYS($I98,'진척율보고서'!$M$4)/$K98)))</f>
        <v>0.4871794872</v>
      </c>
      <c r="M98" s="213" t="s">
        <v>331</v>
      </c>
      <c r="N98" s="214">
        <f t="shared" ref="N98:N99" si="37">IF($M98="완료",1,IF($M98="PM확인",0.95,IF($M98="PL확인",0.8,IF($M98="테스트",0.7,IF($M98="수행2단계",0.55,IF($M98="수행1단계",0.35,IF($M98="착수",0.2,IF($M98="미착수",0,""))))))))</f>
        <v>0.55</v>
      </c>
      <c r="O98" s="264">
        <v>46084.0</v>
      </c>
      <c r="P98" s="229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</row>
    <row r="99" ht="13.5" customHeight="1">
      <c r="A99" s="142"/>
      <c r="B99" s="289"/>
      <c r="C99" s="290"/>
      <c r="D99" s="290"/>
      <c r="E99" s="291" t="s">
        <v>413</v>
      </c>
      <c r="F99" s="292"/>
      <c r="G99" s="293" t="s">
        <v>168</v>
      </c>
      <c r="H99" s="294"/>
      <c r="I99" s="295">
        <v>46139.0</v>
      </c>
      <c r="J99" s="296">
        <v>46171.0</v>
      </c>
      <c r="K99" s="297">
        <f t="shared" si="36"/>
        <v>25</v>
      </c>
      <c r="L99" s="298">
        <f>IF(OR(ISBLANK($I99), ISBLANK($J99)), "", IF('진척율보고서'!$M$4 &lt; $I99, 0, IF('진척율보고서'!$M$4 &gt;= $J99, 1, NETWORKDAYS($I99,'진척율보고서'!$M$4)/$K99)))</f>
        <v>0</v>
      </c>
      <c r="M99" s="299" t="s">
        <v>163</v>
      </c>
      <c r="N99" s="300">
        <f t="shared" si="37"/>
        <v>0</v>
      </c>
      <c r="O99" s="301"/>
      <c r="P99" s="30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</row>
    <row r="100" ht="13.5" customHeight="1">
      <c r="A100" s="142"/>
      <c r="B100" s="142"/>
      <c r="C100" s="142"/>
      <c r="D100" s="142"/>
      <c r="E100" s="142"/>
      <c r="F100" s="142"/>
      <c r="G100" s="143"/>
      <c r="H100" s="143"/>
      <c r="I100" s="144"/>
      <c r="J100" s="144"/>
      <c r="K100" s="145"/>
      <c r="L100" s="146"/>
      <c r="M100" s="147"/>
      <c r="N100" s="146"/>
      <c r="O100" s="144"/>
      <c r="P100" s="144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</row>
    <row r="101" ht="13.5" customHeight="1">
      <c r="A101" s="142"/>
      <c r="B101" s="142"/>
      <c r="C101" s="142"/>
      <c r="D101" s="142"/>
      <c r="E101" s="142"/>
      <c r="F101" s="142"/>
      <c r="G101" s="143"/>
      <c r="H101" s="143"/>
      <c r="I101" s="144"/>
      <c r="J101" s="144"/>
      <c r="K101" s="145"/>
      <c r="L101" s="146"/>
      <c r="M101" s="147"/>
      <c r="N101" s="146"/>
      <c r="O101" s="144"/>
      <c r="P101" s="144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</row>
    <row r="102" ht="13.5" customHeight="1">
      <c r="A102" s="142"/>
      <c r="B102" s="142"/>
      <c r="C102" s="142"/>
      <c r="D102" s="142"/>
      <c r="E102" s="142"/>
      <c r="F102" s="142"/>
      <c r="G102" s="143"/>
      <c r="H102" s="143"/>
      <c r="I102" s="144"/>
      <c r="J102" s="144"/>
      <c r="K102" s="145"/>
      <c r="L102" s="146"/>
      <c r="M102" s="147"/>
      <c r="N102" s="146"/>
      <c r="O102" s="144"/>
      <c r="P102" s="144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</row>
    <row r="103" ht="13.5" customHeight="1">
      <c r="A103" s="142"/>
      <c r="B103" s="142"/>
      <c r="C103" s="142"/>
      <c r="D103" s="142"/>
      <c r="E103" s="142"/>
      <c r="F103" s="142"/>
      <c r="G103" s="143"/>
      <c r="H103" s="143"/>
      <c r="I103" s="144"/>
      <c r="J103" s="144"/>
      <c r="K103" s="145"/>
      <c r="L103" s="146"/>
      <c r="M103" s="147"/>
      <c r="N103" s="146"/>
      <c r="O103" s="144"/>
      <c r="P103" s="144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</row>
    <row r="104" ht="13.5" customHeight="1">
      <c r="A104" s="142"/>
      <c r="B104" s="142"/>
      <c r="C104" s="142"/>
      <c r="D104" s="142"/>
      <c r="E104" s="142"/>
      <c r="F104" s="142"/>
      <c r="G104" s="143"/>
      <c r="H104" s="143"/>
      <c r="I104" s="144"/>
      <c r="J104" s="144"/>
      <c r="K104" s="145"/>
      <c r="L104" s="146"/>
      <c r="M104" s="147"/>
      <c r="N104" s="146"/>
      <c r="O104" s="144"/>
      <c r="P104" s="144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</row>
    <row r="105" ht="13.5" customHeight="1">
      <c r="A105" s="142"/>
      <c r="B105" s="142"/>
      <c r="C105" s="142"/>
      <c r="D105" s="142"/>
      <c r="E105" s="142"/>
      <c r="F105" s="142"/>
      <c r="G105" s="143"/>
      <c r="H105" s="143"/>
      <c r="I105" s="144"/>
      <c r="J105" s="144"/>
      <c r="K105" s="145"/>
      <c r="L105" s="146"/>
      <c r="M105" s="147"/>
      <c r="N105" s="146"/>
      <c r="O105" s="144"/>
      <c r="P105" s="144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</row>
    <row r="106" ht="13.5" customHeight="1">
      <c r="A106" s="142"/>
      <c r="B106" s="142"/>
      <c r="C106" s="142"/>
      <c r="D106" s="142"/>
      <c r="E106" s="142"/>
      <c r="F106" s="142"/>
      <c r="G106" s="143"/>
      <c r="H106" s="143"/>
      <c r="I106" s="144"/>
      <c r="J106" s="144"/>
      <c r="K106" s="145"/>
      <c r="L106" s="146"/>
      <c r="M106" s="147"/>
      <c r="N106" s="146"/>
      <c r="O106" s="144"/>
      <c r="P106" s="144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</row>
    <row r="107" ht="13.5" customHeight="1">
      <c r="A107" s="142"/>
      <c r="B107" s="142"/>
      <c r="C107" s="142"/>
      <c r="D107" s="142"/>
      <c r="E107" s="142"/>
      <c r="F107" s="142"/>
      <c r="G107" s="143"/>
      <c r="H107" s="143"/>
      <c r="I107" s="144"/>
      <c r="J107" s="144"/>
      <c r="K107" s="145"/>
      <c r="L107" s="146"/>
      <c r="M107" s="147"/>
      <c r="N107" s="146"/>
      <c r="O107" s="144"/>
      <c r="P107" s="144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</row>
    <row r="108" ht="13.5" customHeight="1">
      <c r="A108" s="142"/>
      <c r="B108" s="142"/>
      <c r="C108" s="142"/>
      <c r="D108" s="142"/>
      <c r="E108" s="142"/>
      <c r="F108" s="142"/>
      <c r="G108" s="143"/>
      <c r="H108" s="143"/>
      <c r="I108" s="144"/>
      <c r="J108" s="144"/>
      <c r="K108" s="145"/>
      <c r="L108" s="146"/>
      <c r="M108" s="147"/>
      <c r="N108" s="146"/>
      <c r="O108" s="144"/>
      <c r="P108" s="144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</row>
    <row r="109" ht="13.5" customHeight="1">
      <c r="A109" s="142"/>
      <c r="B109" s="142"/>
      <c r="C109" s="142"/>
      <c r="D109" s="142"/>
      <c r="E109" s="142"/>
      <c r="F109" s="142"/>
      <c r="G109" s="143"/>
      <c r="H109" s="143"/>
      <c r="I109" s="144"/>
      <c r="J109" s="144"/>
      <c r="K109" s="145"/>
      <c r="L109" s="146"/>
      <c r="M109" s="147"/>
      <c r="N109" s="146"/>
      <c r="O109" s="144"/>
      <c r="P109" s="144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</row>
    <row r="110" ht="13.5" customHeight="1">
      <c r="A110" s="142"/>
      <c r="B110" s="142"/>
      <c r="C110" s="142"/>
      <c r="D110" s="142"/>
      <c r="E110" s="142"/>
      <c r="F110" s="142"/>
      <c r="G110" s="143"/>
      <c r="H110" s="143"/>
      <c r="I110" s="144"/>
      <c r="J110" s="144"/>
      <c r="K110" s="145"/>
      <c r="L110" s="146"/>
      <c r="M110" s="147"/>
      <c r="N110" s="146"/>
      <c r="O110" s="144"/>
      <c r="P110" s="144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</row>
    <row r="111" ht="13.5" customHeight="1">
      <c r="A111" s="142"/>
      <c r="B111" s="142"/>
      <c r="C111" s="142"/>
      <c r="D111" s="142"/>
      <c r="E111" s="142"/>
      <c r="F111" s="142"/>
      <c r="G111" s="143"/>
      <c r="H111" s="143"/>
      <c r="I111" s="144"/>
      <c r="J111" s="144"/>
      <c r="K111" s="145"/>
      <c r="L111" s="146"/>
      <c r="M111" s="147"/>
      <c r="N111" s="146"/>
      <c r="O111" s="144"/>
      <c r="P111" s="144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</row>
    <row r="112" ht="13.5" customHeight="1">
      <c r="A112" s="142"/>
      <c r="B112" s="142"/>
      <c r="C112" s="142"/>
      <c r="D112" s="142"/>
      <c r="E112" s="142"/>
      <c r="F112" s="142"/>
      <c r="G112" s="143"/>
      <c r="H112" s="143"/>
      <c r="I112" s="144"/>
      <c r="J112" s="144"/>
      <c r="K112" s="145"/>
      <c r="L112" s="146"/>
      <c r="M112" s="147"/>
      <c r="N112" s="146"/>
      <c r="O112" s="144"/>
      <c r="P112" s="144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</row>
    <row r="113" ht="13.5" customHeight="1">
      <c r="A113" s="142"/>
      <c r="B113" s="142"/>
      <c r="C113" s="142"/>
      <c r="D113" s="142"/>
      <c r="E113" s="142"/>
      <c r="F113" s="142"/>
      <c r="G113" s="143"/>
      <c r="H113" s="143"/>
      <c r="I113" s="144"/>
      <c r="J113" s="144"/>
      <c r="K113" s="145"/>
      <c r="L113" s="146"/>
      <c r="M113" s="147"/>
      <c r="N113" s="146"/>
      <c r="O113" s="144"/>
      <c r="P113" s="144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</row>
    <row r="114" ht="13.5" customHeight="1">
      <c r="A114" s="142"/>
      <c r="B114" s="142"/>
      <c r="C114" s="142"/>
      <c r="D114" s="142"/>
      <c r="E114" s="142"/>
      <c r="F114" s="142"/>
      <c r="G114" s="143"/>
      <c r="H114" s="143"/>
      <c r="I114" s="144"/>
      <c r="J114" s="144"/>
      <c r="K114" s="145"/>
      <c r="L114" s="146"/>
      <c r="M114" s="147"/>
      <c r="N114" s="146"/>
      <c r="O114" s="144"/>
      <c r="P114" s="144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ht="13.5" customHeight="1">
      <c r="A115" s="142"/>
      <c r="B115" s="142"/>
      <c r="C115" s="142"/>
      <c r="D115" s="142"/>
      <c r="E115" s="142"/>
      <c r="F115" s="142"/>
      <c r="G115" s="143"/>
      <c r="H115" s="143"/>
      <c r="I115" s="144"/>
      <c r="J115" s="144"/>
      <c r="K115" s="145"/>
      <c r="L115" s="146"/>
      <c r="M115" s="147"/>
      <c r="N115" s="146"/>
      <c r="O115" s="144"/>
      <c r="P115" s="144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</row>
    <row r="116" ht="13.5" customHeight="1">
      <c r="A116" s="142"/>
      <c r="B116" s="142"/>
      <c r="C116" s="142"/>
      <c r="D116" s="142"/>
      <c r="E116" s="142"/>
      <c r="F116" s="142"/>
      <c r="G116" s="143"/>
      <c r="H116" s="143"/>
      <c r="I116" s="144"/>
      <c r="J116" s="144"/>
      <c r="K116" s="145"/>
      <c r="L116" s="146"/>
      <c r="M116" s="147"/>
      <c r="N116" s="146"/>
      <c r="O116" s="144"/>
      <c r="P116" s="144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</row>
    <row r="117" ht="13.5" customHeight="1">
      <c r="A117" s="142"/>
      <c r="B117" s="142"/>
      <c r="C117" s="142"/>
      <c r="D117" s="142"/>
      <c r="E117" s="142"/>
      <c r="F117" s="142"/>
      <c r="G117" s="143"/>
      <c r="H117" s="143"/>
      <c r="I117" s="144"/>
      <c r="J117" s="144"/>
      <c r="K117" s="145"/>
      <c r="L117" s="146"/>
      <c r="M117" s="147"/>
      <c r="N117" s="146"/>
      <c r="O117" s="144"/>
      <c r="P117" s="144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</row>
    <row r="118" ht="13.5" customHeight="1">
      <c r="A118" s="142"/>
      <c r="B118" s="142"/>
      <c r="C118" s="142"/>
      <c r="D118" s="142"/>
      <c r="E118" s="142"/>
      <c r="F118" s="142"/>
      <c r="G118" s="143"/>
      <c r="H118" s="143"/>
      <c r="I118" s="144"/>
      <c r="J118" s="144"/>
      <c r="K118" s="145"/>
      <c r="L118" s="146"/>
      <c r="M118" s="147"/>
      <c r="N118" s="146"/>
      <c r="O118" s="144"/>
      <c r="P118" s="144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</row>
    <row r="119" ht="13.5" customHeight="1">
      <c r="A119" s="142"/>
      <c r="B119" s="142"/>
      <c r="C119" s="142"/>
      <c r="D119" s="142"/>
      <c r="E119" s="142"/>
      <c r="F119" s="142"/>
      <c r="G119" s="143"/>
      <c r="H119" s="143"/>
      <c r="I119" s="144"/>
      <c r="J119" s="144"/>
      <c r="K119" s="145"/>
      <c r="L119" s="146"/>
      <c r="M119" s="147"/>
      <c r="N119" s="146"/>
      <c r="O119" s="144"/>
      <c r="P119" s="144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</row>
    <row r="120" ht="13.5" customHeight="1">
      <c r="A120" s="142"/>
      <c r="B120" s="142"/>
      <c r="C120" s="142"/>
      <c r="D120" s="142"/>
      <c r="E120" s="142"/>
      <c r="F120" s="142"/>
      <c r="G120" s="143"/>
      <c r="H120" s="143"/>
      <c r="I120" s="144"/>
      <c r="J120" s="144"/>
      <c r="K120" s="145"/>
      <c r="L120" s="146"/>
      <c r="M120" s="147"/>
      <c r="N120" s="146"/>
      <c r="O120" s="144"/>
      <c r="P120" s="144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</row>
    <row r="121" ht="13.5" customHeight="1">
      <c r="A121" s="142"/>
      <c r="B121" s="142"/>
      <c r="C121" s="142"/>
      <c r="D121" s="142"/>
      <c r="E121" s="142"/>
      <c r="F121" s="142"/>
      <c r="G121" s="143"/>
      <c r="H121" s="143"/>
      <c r="I121" s="144"/>
      <c r="J121" s="144"/>
      <c r="K121" s="145"/>
      <c r="L121" s="146"/>
      <c r="M121" s="147"/>
      <c r="N121" s="146"/>
      <c r="O121" s="144"/>
      <c r="P121" s="144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</row>
    <row r="122" ht="13.5" customHeight="1">
      <c r="A122" s="142"/>
      <c r="B122" s="142"/>
      <c r="C122" s="142"/>
      <c r="D122" s="142"/>
      <c r="E122" s="142"/>
      <c r="F122" s="142"/>
      <c r="G122" s="143"/>
      <c r="H122" s="143"/>
      <c r="I122" s="144"/>
      <c r="J122" s="144"/>
      <c r="K122" s="145"/>
      <c r="L122" s="146"/>
      <c r="M122" s="147"/>
      <c r="N122" s="146"/>
      <c r="O122" s="144"/>
      <c r="P122" s="144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</row>
    <row r="123" ht="13.5" customHeight="1">
      <c r="A123" s="142"/>
      <c r="B123" s="142"/>
      <c r="C123" s="142"/>
      <c r="D123" s="142"/>
      <c r="E123" s="142"/>
      <c r="F123" s="142"/>
      <c r="G123" s="143"/>
      <c r="H123" s="143"/>
      <c r="I123" s="144"/>
      <c r="J123" s="144"/>
      <c r="K123" s="145"/>
      <c r="L123" s="146"/>
      <c r="M123" s="147"/>
      <c r="N123" s="146"/>
      <c r="O123" s="144"/>
      <c r="P123" s="144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</row>
    <row r="124" ht="13.5" customHeight="1">
      <c r="A124" s="142"/>
      <c r="B124" s="142"/>
      <c r="C124" s="142"/>
      <c r="D124" s="142"/>
      <c r="E124" s="142"/>
      <c r="F124" s="142"/>
      <c r="G124" s="143"/>
      <c r="H124" s="143"/>
      <c r="I124" s="144"/>
      <c r="J124" s="144"/>
      <c r="K124" s="145"/>
      <c r="L124" s="146"/>
      <c r="M124" s="147"/>
      <c r="N124" s="146"/>
      <c r="O124" s="144"/>
      <c r="P124" s="144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</row>
    <row r="125" ht="13.5" customHeight="1">
      <c r="A125" s="142"/>
      <c r="B125" s="142"/>
      <c r="C125" s="142"/>
      <c r="D125" s="142"/>
      <c r="E125" s="142"/>
      <c r="F125" s="142"/>
      <c r="G125" s="143"/>
      <c r="H125" s="143"/>
      <c r="I125" s="144"/>
      <c r="J125" s="144"/>
      <c r="K125" s="145"/>
      <c r="L125" s="146"/>
      <c r="M125" s="147"/>
      <c r="N125" s="146"/>
      <c r="O125" s="144"/>
      <c r="P125" s="144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</row>
    <row r="126" ht="13.5" customHeight="1">
      <c r="A126" s="142"/>
      <c r="B126" s="142"/>
      <c r="C126" s="142"/>
      <c r="D126" s="142"/>
      <c r="E126" s="142"/>
      <c r="F126" s="142"/>
      <c r="G126" s="143"/>
      <c r="H126" s="143"/>
      <c r="I126" s="144"/>
      <c r="J126" s="144"/>
      <c r="K126" s="145"/>
      <c r="L126" s="146"/>
      <c r="M126" s="147"/>
      <c r="N126" s="146"/>
      <c r="O126" s="144"/>
      <c r="P126" s="144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</row>
    <row r="127" ht="13.5" customHeight="1">
      <c r="A127" s="142"/>
      <c r="B127" s="142"/>
      <c r="C127" s="142"/>
      <c r="D127" s="142"/>
      <c r="E127" s="142"/>
      <c r="F127" s="142"/>
      <c r="G127" s="143"/>
      <c r="H127" s="143"/>
      <c r="I127" s="144"/>
      <c r="J127" s="144"/>
      <c r="K127" s="145"/>
      <c r="L127" s="146"/>
      <c r="M127" s="147"/>
      <c r="N127" s="146"/>
      <c r="O127" s="144"/>
      <c r="P127" s="144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</row>
    <row r="128" ht="13.5" customHeight="1">
      <c r="A128" s="142"/>
      <c r="B128" s="142"/>
      <c r="C128" s="142"/>
      <c r="D128" s="142"/>
      <c r="E128" s="142"/>
      <c r="F128" s="142"/>
      <c r="G128" s="143"/>
      <c r="H128" s="143"/>
      <c r="I128" s="144"/>
      <c r="J128" s="144"/>
      <c r="K128" s="145"/>
      <c r="L128" s="146"/>
      <c r="M128" s="147"/>
      <c r="N128" s="146"/>
      <c r="O128" s="144"/>
      <c r="P128" s="144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</row>
    <row r="129" ht="13.5" customHeight="1">
      <c r="A129" s="142"/>
      <c r="B129" s="142"/>
      <c r="C129" s="142"/>
      <c r="D129" s="142"/>
      <c r="E129" s="142"/>
      <c r="F129" s="142"/>
      <c r="G129" s="143"/>
      <c r="H129" s="143"/>
      <c r="I129" s="144"/>
      <c r="J129" s="144"/>
      <c r="K129" s="145"/>
      <c r="L129" s="146"/>
      <c r="M129" s="147"/>
      <c r="N129" s="146"/>
      <c r="O129" s="144"/>
      <c r="P129" s="144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</row>
    <row r="130" ht="13.5" customHeight="1">
      <c r="A130" s="142"/>
      <c r="B130" s="142"/>
      <c r="C130" s="142"/>
      <c r="D130" s="142"/>
      <c r="E130" s="142"/>
      <c r="F130" s="142"/>
      <c r="G130" s="143"/>
      <c r="H130" s="143"/>
      <c r="I130" s="144"/>
      <c r="J130" s="144"/>
      <c r="K130" s="145"/>
      <c r="L130" s="146"/>
      <c r="M130" s="147"/>
      <c r="N130" s="146"/>
      <c r="O130" s="144"/>
      <c r="P130" s="144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</row>
    <row r="131" ht="13.5" customHeight="1">
      <c r="A131" s="142"/>
      <c r="B131" s="142"/>
      <c r="C131" s="142"/>
      <c r="D131" s="142"/>
      <c r="E131" s="142"/>
      <c r="F131" s="142"/>
      <c r="G131" s="143"/>
      <c r="H131" s="143"/>
      <c r="I131" s="144"/>
      <c r="J131" s="144"/>
      <c r="K131" s="145"/>
      <c r="L131" s="146"/>
      <c r="M131" s="147"/>
      <c r="N131" s="146"/>
      <c r="O131" s="144"/>
      <c r="P131" s="144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</row>
    <row r="132" ht="13.5" customHeight="1">
      <c r="A132" s="142"/>
      <c r="B132" s="142"/>
      <c r="C132" s="142"/>
      <c r="D132" s="142"/>
      <c r="E132" s="142"/>
      <c r="F132" s="142"/>
      <c r="G132" s="143"/>
      <c r="H132" s="143"/>
      <c r="I132" s="144"/>
      <c r="J132" s="144"/>
      <c r="K132" s="145"/>
      <c r="L132" s="146"/>
      <c r="M132" s="147"/>
      <c r="N132" s="146"/>
      <c r="O132" s="144"/>
      <c r="P132" s="144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</row>
    <row r="133" ht="13.5" customHeight="1">
      <c r="A133" s="142"/>
      <c r="B133" s="142"/>
      <c r="C133" s="142"/>
      <c r="D133" s="142"/>
      <c r="E133" s="142"/>
      <c r="F133" s="142"/>
      <c r="G133" s="143"/>
      <c r="H133" s="143"/>
      <c r="I133" s="144"/>
      <c r="J133" s="144"/>
      <c r="K133" s="145"/>
      <c r="L133" s="146"/>
      <c r="M133" s="147"/>
      <c r="N133" s="146"/>
      <c r="O133" s="144"/>
      <c r="P133" s="144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</row>
    <row r="134" ht="13.5" customHeight="1">
      <c r="A134" s="142"/>
      <c r="B134" s="142"/>
      <c r="C134" s="142"/>
      <c r="D134" s="142"/>
      <c r="E134" s="142"/>
      <c r="F134" s="142"/>
      <c r="G134" s="143"/>
      <c r="H134" s="143"/>
      <c r="I134" s="144"/>
      <c r="J134" s="144"/>
      <c r="K134" s="145"/>
      <c r="L134" s="146"/>
      <c r="M134" s="147"/>
      <c r="N134" s="146"/>
      <c r="O134" s="144"/>
      <c r="P134" s="144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</row>
    <row r="135" ht="13.5" customHeight="1">
      <c r="A135" s="142"/>
      <c r="B135" s="142"/>
      <c r="C135" s="142"/>
      <c r="D135" s="142"/>
      <c r="E135" s="142"/>
      <c r="F135" s="142"/>
      <c r="G135" s="143"/>
      <c r="H135" s="143"/>
      <c r="I135" s="144"/>
      <c r="J135" s="144"/>
      <c r="K135" s="145"/>
      <c r="L135" s="146"/>
      <c r="M135" s="147"/>
      <c r="N135" s="146"/>
      <c r="O135" s="144"/>
      <c r="P135" s="144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</row>
    <row r="136" ht="13.5" customHeight="1">
      <c r="A136" s="142"/>
      <c r="B136" s="142"/>
      <c r="C136" s="142"/>
      <c r="D136" s="142"/>
      <c r="E136" s="142"/>
      <c r="F136" s="142"/>
      <c r="G136" s="143"/>
      <c r="H136" s="143"/>
      <c r="I136" s="144"/>
      <c r="J136" s="144"/>
      <c r="K136" s="145"/>
      <c r="L136" s="146"/>
      <c r="M136" s="147"/>
      <c r="N136" s="146"/>
      <c r="O136" s="144"/>
      <c r="P136" s="144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</row>
    <row r="137" ht="13.5" customHeight="1">
      <c r="A137" s="142"/>
      <c r="B137" s="142"/>
      <c r="C137" s="142"/>
      <c r="D137" s="142"/>
      <c r="E137" s="142"/>
      <c r="F137" s="142"/>
      <c r="G137" s="143"/>
      <c r="H137" s="143"/>
      <c r="I137" s="144"/>
      <c r="J137" s="144"/>
      <c r="K137" s="145"/>
      <c r="L137" s="146"/>
      <c r="M137" s="147"/>
      <c r="N137" s="146"/>
      <c r="O137" s="144"/>
      <c r="P137" s="144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</row>
    <row r="138" ht="13.5" customHeight="1">
      <c r="A138" s="142"/>
      <c r="B138" s="142"/>
      <c r="C138" s="142"/>
      <c r="D138" s="142"/>
      <c r="E138" s="142"/>
      <c r="F138" s="142"/>
      <c r="G138" s="143"/>
      <c r="H138" s="143"/>
      <c r="I138" s="144"/>
      <c r="J138" s="144"/>
      <c r="K138" s="145"/>
      <c r="L138" s="146"/>
      <c r="M138" s="147"/>
      <c r="N138" s="146"/>
      <c r="O138" s="144"/>
      <c r="P138" s="144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</row>
    <row r="139" ht="13.5" customHeight="1">
      <c r="A139" s="142"/>
      <c r="B139" s="142"/>
      <c r="C139" s="142"/>
      <c r="D139" s="142"/>
      <c r="E139" s="142"/>
      <c r="F139" s="142"/>
      <c r="G139" s="143"/>
      <c r="H139" s="143"/>
      <c r="I139" s="144"/>
      <c r="J139" s="144"/>
      <c r="K139" s="145"/>
      <c r="L139" s="146"/>
      <c r="M139" s="147"/>
      <c r="N139" s="146"/>
      <c r="O139" s="144"/>
      <c r="P139" s="144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</row>
    <row r="140" ht="13.5" customHeight="1">
      <c r="A140" s="142"/>
      <c r="B140" s="142"/>
      <c r="C140" s="142"/>
      <c r="D140" s="142"/>
      <c r="E140" s="142"/>
      <c r="F140" s="142"/>
      <c r="G140" s="143"/>
      <c r="H140" s="143"/>
      <c r="I140" s="144"/>
      <c r="J140" s="144"/>
      <c r="K140" s="145"/>
      <c r="L140" s="146"/>
      <c r="M140" s="147"/>
      <c r="N140" s="146"/>
      <c r="O140" s="144"/>
      <c r="P140" s="144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</row>
    <row r="141" ht="13.5" customHeight="1">
      <c r="A141" s="142"/>
      <c r="B141" s="142"/>
      <c r="C141" s="142"/>
      <c r="D141" s="142"/>
      <c r="E141" s="142"/>
      <c r="F141" s="142"/>
      <c r="G141" s="143"/>
      <c r="H141" s="143"/>
      <c r="I141" s="144"/>
      <c r="J141" s="144"/>
      <c r="K141" s="145"/>
      <c r="L141" s="146"/>
      <c r="M141" s="147"/>
      <c r="N141" s="146"/>
      <c r="O141" s="144"/>
      <c r="P141" s="144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</row>
    <row r="142" ht="13.5" customHeight="1">
      <c r="A142" s="142"/>
      <c r="B142" s="142"/>
      <c r="C142" s="142"/>
      <c r="D142" s="142"/>
      <c r="E142" s="142"/>
      <c r="F142" s="142"/>
      <c r="G142" s="143"/>
      <c r="H142" s="143"/>
      <c r="I142" s="144"/>
      <c r="J142" s="144"/>
      <c r="K142" s="145"/>
      <c r="L142" s="146"/>
      <c r="M142" s="147"/>
      <c r="N142" s="146"/>
      <c r="O142" s="144"/>
      <c r="P142" s="144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</row>
    <row r="143" ht="13.5" customHeight="1">
      <c r="A143" s="142"/>
      <c r="B143" s="142"/>
      <c r="C143" s="142"/>
      <c r="D143" s="142"/>
      <c r="E143" s="142"/>
      <c r="F143" s="142"/>
      <c r="G143" s="143"/>
      <c r="H143" s="143"/>
      <c r="I143" s="144"/>
      <c r="J143" s="144"/>
      <c r="K143" s="145"/>
      <c r="L143" s="146"/>
      <c r="M143" s="147"/>
      <c r="N143" s="146"/>
      <c r="O143" s="144"/>
      <c r="P143" s="144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</row>
    <row r="144" ht="13.5" customHeight="1">
      <c r="A144" s="142"/>
      <c r="B144" s="142"/>
      <c r="C144" s="142"/>
      <c r="D144" s="142"/>
      <c r="E144" s="142"/>
      <c r="F144" s="142"/>
      <c r="G144" s="143"/>
      <c r="H144" s="143"/>
      <c r="I144" s="144"/>
      <c r="J144" s="144"/>
      <c r="K144" s="145"/>
      <c r="L144" s="146"/>
      <c r="M144" s="147"/>
      <c r="N144" s="146"/>
      <c r="O144" s="144"/>
      <c r="P144" s="144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</row>
    <row r="145" ht="13.5" customHeight="1">
      <c r="A145" s="142"/>
      <c r="B145" s="142"/>
      <c r="C145" s="142"/>
      <c r="D145" s="142"/>
      <c r="E145" s="142"/>
      <c r="F145" s="142"/>
      <c r="G145" s="143"/>
      <c r="H145" s="143"/>
      <c r="I145" s="144"/>
      <c r="J145" s="144"/>
      <c r="K145" s="145"/>
      <c r="L145" s="146"/>
      <c r="M145" s="147"/>
      <c r="N145" s="146"/>
      <c r="O145" s="144"/>
      <c r="P145" s="144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</row>
    <row r="146" ht="13.5" customHeight="1">
      <c r="A146" s="142"/>
      <c r="B146" s="142"/>
      <c r="C146" s="142"/>
      <c r="D146" s="142"/>
      <c r="E146" s="142"/>
      <c r="F146" s="142"/>
      <c r="G146" s="143"/>
      <c r="H146" s="143"/>
      <c r="I146" s="144"/>
      <c r="J146" s="144"/>
      <c r="K146" s="145"/>
      <c r="L146" s="146"/>
      <c r="M146" s="147"/>
      <c r="N146" s="146"/>
      <c r="O146" s="144"/>
      <c r="P146" s="144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</row>
    <row r="147" ht="13.5" customHeight="1">
      <c r="A147" s="142"/>
      <c r="B147" s="142"/>
      <c r="C147" s="142"/>
      <c r="D147" s="142"/>
      <c r="E147" s="142"/>
      <c r="F147" s="142"/>
      <c r="G147" s="143"/>
      <c r="H147" s="143"/>
      <c r="I147" s="144"/>
      <c r="J147" s="144"/>
      <c r="K147" s="145"/>
      <c r="L147" s="146"/>
      <c r="M147" s="147"/>
      <c r="N147" s="146"/>
      <c r="O147" s="144"/>
      <c r="P147" s="144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</row>
    <row r="148" ht="13.5" customHeight="1">
      <c r="A148" s="142"/>
      <c r="B148" s="142"/>
      <c r="C148" s="142"/>
      <c r="D148" s="142"/>
      <c r="E148" s="142"/>
      <c r="F148" s="142"/>
      <c r="G148" s="143"/>
      <c r="H148" s="143"/>
      <c r="I148" s="144"/>
      <c r="J148" s="144"/>
      <c r="K148" s="145"/>
      <c r="L148" s="146"/>
      <c r="M148" s="147"/>
      <c r="N148" s="146"/>
      <c r="O148" s="144"/>
      <c r="P148" s="144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</row>
    <row r="149" ht="13.5" customHeight="1">
      <c r="A149" s="142"/>
      <c r="B149" s="142"/>
      <c r="C149" s="142"/>
      <c r="D149" s="142"/>
      <c r="E149" s="142"/>
      <c r="F149" s="142"/>
      <c r="G149" s="143"/>
      <c r="H149" s="143"/>
      <c r="I149" s="144"/>
      <c r="J149" s="144"/>
      <c r="K149" s="145"/>
      <c r="L149" s="146"/>
      <c r="M149" s="147"/>
      <c r="N149" s="146"/>
      <c r="O149" s="144"/>
      <c r="P149" s="144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</row>
    <row r="150" ht="13.5" customHeight="1">
      <c r="A150" s="142"/>
      <c r="B150" s="142"/>
      <c r="C150" s="142"/>
      <c r="D150" s="142"/>
      <c r="E150" s="142"/>
      <c r="F150" s="142"/>
      <c r="G150" s="143"/>
      <c r="H150" s="143"/>
      <c r="I150" s="144"/>
      <c r="J150" s="144"/>
      <c r="K150" s="145"/>
      <c r="L150" s="146"/>
      <c r="M150" s="147"/>
      <c r="N150" s="146"/>
      <c r="O150" s="144"/>
      <c r="P150" s="144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</row>
    <row r="151" ht="13.5" customHeight="1">
      <c r="A151" s="142"/>
      <c r="B151" s="142"/>
      <c r="C151" s="142"/>
      <c r="D151" s="142"/>
      <c r="E151" s="142"/>
      <c r="F151" s="142"/>
      <c r="G151" s="143"/>
      <c r="H151" s="143"/>
      <c r="I151" s="144"/>
      <c r="J151" s="144"/>
      <c r="K151" s="145"/>
      <c r="L151" s="146"/>
      <c r="M151" s="147"/>
      <c r="N151" s="146"/>
      <c r="O151" s="144"/>
      <c r="P151" s="144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</row>
    <row r="152" ht="13.5" customHeight="1">
      <c r="A152" s="142"/>
      <c r="B152" s="142"/>
      <c r="C152" s="142"/>
      <c r="D152" s="142"/>
      <c r="E152" s="142"/>
      <c r="F152" s="142"/>
      <c r="G152" s="143"/>
      <c r="H152" s="143"/>
      <c r="I152" s="144"/>
      <c r="J152" s="144"/>
      <c r="K152" s="145"/>
      <c r="L152" s="146"/>
      <c r="M152" s="147"/>
      <c r="N152" s="146"/>
      <c r="O152" s="144"/>
      <c r="P152" s="144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</row>
    <row r="153" ht="13.5" customHeight="1">
      <c r="A153" s="142"/>
      <c r="B153" s="142"/>
      <c r="C153" s="142"/>
      <c r="D153" s="142"/>
      <c r="E153" s="142"/>
      <c r="F153" s="142"/>
      <c r="G153" s="143"/>
      <c r="H153" s="143"/>
      <c r="I153" s="144"/>
      <c r="J153" s="144"/>
      <c r="K153" s="145"/>
      <c r="L153" s="146"/>
      <c r="M153" s="147"/>
      <c r="N153" s="146"/>
      <c r="O153" s="144"/>
      <c r="P153" s="144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2"/>
    </row>
    <row r="154" ht="13.5" customHeight="1">
      <c r="A154" s="142"/>
      <c r="B154" s="142"/>
      <c r="C154" s="142"/>
      <c r="D154" s="142"/>
      <c r="E154" s="142"/>
      <c r="F154" s="142"/>
      <c r="G154" s="143"/>
      <c r="H154" s="143"/>
      <c r="I154" s="144"/>
      <c r="J154" s="144"/>
      <c r="K154" s="145"/>
      <c r="L154" s="146"/>
      <c r="M154" s="147"/>
      <c r="N154" s="146"/>
      <c r="O154" s="144"/>
      <c r="P154" s="144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2"/>
    </row>
    <row r="155" ht="13.5" customHeight="1">
      <c r="A155" s="142"/>
      <c r="B155" s="142"/>
      <c r="C155" s="142"/>
      <c r="D155" s="142"/>
      <c r="E155" s="142"/>
      <c r="F155" s="142"/>
      <c r="G155" s="143"/>
      <c r="H155" s="143"/>
      <c r="I155" s="144"/>
      <c r="J155" s="144"/>
      <c r="K155" s="145"/>
      <c r="L155" s="146"/>
      <c r="M155" s="147"/>
      <c r="N155" s="146"/>
      <c r="O155" s="144"/>
      <c r="P155" s="144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</row>
    <row r="156" ht="13.5" customHeight="1">
      <c r="A156" s="142"/>
      <c r="B156" s="142"/>
      <c r="C156" s="142"/>
      <c r="D156" s="142"/>
      <c r="E156" s="142"/>
      <c r="F156" s="142"/>
      <c r="G156" s="143"/>
      <c r="H156" s="143"/>
      <c r="I156" s="144"/>
      <c r="J156" s="144"/>
      <c r="K156" s="145"/>
      <c r="L156" s="146"/>
      <c r="M156" s="147"/>
      <c r="N156" s="146"/>
      <c r="O156" s="144"/>
      <c r="P156" s="144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</row>
    <row r="157" ht="13.5" customHeight="1">
      <c r="A157" s="142"/>
      <c r="B157" s="142"/>
      <c r="C157" s="142"/>
      <c r="D157" s="142"/>
      <c r="E157" s="142"/>
      <c r="F157" s="142"/>
      <c r="G157" s="143"/>
      <c r="H157" s="143"/>
      <c r="I157" s="144"/>
      <c r="J157" s="144"/>
      <c r="K157" s="145"/>
      <c r="L157" s="146"/>
      <c r="M157" s="147"/>
      <c r="N157" s="146"/>
      <c r="O157" s="144"/>
      <c r="P157" s="144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</row>
    <row r="158" ht="13.5" customHeight="1">
      <c r="A158" s="142"/>
      <c r="B158" s="142"/>
      <c r="C158" s="142"/>
      <c r="D158" s="142"/>
      <c r="E158" s="142"/>
      <c r="F158" s="142"/>
      <c r="G158" s="143"/>
      <c r="H158" s="143"/>
      <c r="I158" s="144"/>
      <c r="J158" s="144"/>
      <c r="K158" s="145"/>
      <c r="L158" s="146"/>
      <c r="M158" s="147"/>
      <c r="N158" s="146"/>
      <c r="O158" s="144"/>
      <c r="P158" s="144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</row>
    <row r="159" ht="13.5" customHeight="1">
      <c r="A159" s="142"/>
      <c r="B159" s="142"/>
      <c r="C159" s="142"/>
      <c r="D159" s="142"/>
      <c r="E159" s="142"/>
      <c r="F159" s="142"/>
      <c r="G159" s="143"/>
      <c r="H159" s="143"/>
      <c r="I159" s="144"/>
      <c r="J159" s="144"/>
      <c r="K159" s="145"/>
      <c r="L159" s="146"/>
      <c r="M159" s="147"/>
      <c r="N159" s="146"/>
      <c r="O159" s="144"/>
      <c r="P159" s="144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</row>
    <row r="160" ht="13.5" customHeight="1">
      <c r="A160" s="142"/>
      <c r="B160" s="142"/>
      <c r="C160" s="142"/>
      <c r="D160" s="142"/>
      <c r="E160" s="142"/>
      <c r="F160" s="142"/>
      <c r="G160" s="143"/>
      <c r="H160" s="143"/>
      <c r="I160" s="144"/>
      <c r="J160" s="144"/>
      <c r="K160" s="145"/>
      <c r="L160" s="146"/>
      <c r="M160" s="147"/>
      <c r="N160" s="146"/>
      <c r="O160" s="144"/>
      <c r="P160" s="144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</row>
    <row r="161" ht="13.5" customHeight="1">
      <c r="A161" s="142"/>
      <c r="B161" s="142"/>
      <c r="C161" s="142"/>
      <c r="D161" s="142"/>
      <c r="E161" s="142"/>
      <c r="F161" s="142"/>
      <c r="G161" s="143"/>
      <c r="H161" s="143"/>
      <c r="I161" s="144"/>
      <c r="J161" s="144"/>
      <c r="K161" s="145"/>
      <c r="L161" s="146"/>
      <c r="M161" s="147"/>
      <c r="N161" s="146"/>
      <c r="O161" s="144"/>
      <c r="P161" s="144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</row>
    <row r="162" ht="13.5" customHeight="1">
      <c r="A162" s="142"/>
      <c r="B162" s="142"/>
      <c r="C162" s="142"/>
      <c r="D162" s="142"/>
      <c r="E162" s="142"/>
      <c r="F162" s="142"/>
      <c r="G162" s="143"/>
      <c r="H162" s="143"/>
      <c r="I162" s="144"/>
      <c r="J162" s="144"/>
      <c r="K162" s="145"/>
      <c r="L162" s="146"/>
      <c r="M162" s="147"/>
      <c r="N162" s="146"/>
      <c r="O162" s="144"/>
      <c r="P162" s="144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</row>
    <row r="163" ht="13.5" customHeight="1">
      <c r="A163" s="142"/>
      <c r="B163" s="142"/>
      <c r="C163" s="142"/>
      <c r="D163" s="142"/>
      <c r="E163" s="142"/>
      <c r="F163" s="142"/>
      <c r="G163" s="143"/>
      <c r="H163" s="143"/>
      <c r="I163" s="144"/>
      <c r="J163" s="144"/>
      <c r="K163" s="145"/>
      <c r="L163" s="146"/>
      <c r="M163" s="147"/>
      <c r="N163" s="146"/>
      <c r="O163" s="144"/>
      <c r="P163" s="144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</row>
    <row r="164" ht="13.5" customHeight="1">
      <c r="A164" s="142"/>
      <c r="B164" s="142"/>
      <c r="C164" s="142"/>
      <c r="D164" s="142"/>
      <c r="E164" s="142"/>
      <c r="F164" s="142"/>
      <c r="G164" s="143"/>
      <c r="H164" s="143"/>
      <c r="I164" s="144"/>
      <c r="J164" s="144"/>
      <c r="K164" s="145"/>
      <c r="L164" s="146"/>
      <c r="M164" s="147"/>
      <c r="N164" s="146"/>
      <c r="O164" s="144"/>
      <c r="P164" s="144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</row>
    <row r="165" ht="13.5" customHeight="1">
      <c r="A165" s="142"/>
      <c r="B165" s="142"/>
      <c r="C165" s="142"/>
      <c r="D165" s="142"/>
      <c r="E165" s="142"/>
      <c r="F165" s="142"/>
      <c r="G165" s="143"/>
      <c r="H165" s="143"/>
      <c r="I165" s="144"/>
      <c r="J165" s="144"/>
      <c r="K165" s="145"/>
      <c r="L165" s="146"/>
      <c r="M165" s="147"/>
      <c r="N165" s="146"/>
      <c r="O165" s="144"/>
      <c r="P165" s="144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</row>
    <row r="166" ht="13.5" customHeight="1">
      <c r="A166" s="142"/>
      <c r="B166" s="142"/>
      <c r="C166" s="142"/>
      <c r="D166" s="142"/>
      <c r="E166" s="142"/>
      <c r="F166" s="142"/>
      <c r="G166" s="143"/>
      <c r="H166" s="143"/>
      <c r="I166" s="144"/>
      <c r="J166" s="144"/>
      <c r="K166" s="145"/>
      <c r="L166" s="146"/>
      <c r="M166" s="147"/>
      <c r="N166" s="146"/>
      <c r="O166" s="144"/>
      <c r="P166" s="144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</row>
    <row r="167" ht="13.5" customHeight="1">
      <c r="A167" s="142"/>
      <c r="B167" s="142"/>
      <c r="C167" s="142"/>
      <c r="D167" s="142"/>
      <c r="E167" s="142"/>
      <c r="F167" s="142"/>
      <c r="G167" s="143"/>
      <c r="H167" s="143"/>
      <c r="I167" s="144"/>
      <c r="J167" s="144"/>
      <c r="K167" s="145"/>
      <c r="L167" s="146"/>
      <c r="M167" s="147"/>
      <c r="N167" s="146"/>
      <c r="O167" s="144"/>
      <c r="P167" s="144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</row>
    <row r="168" ht="13.5" customHeight="1">
      <c r="A168" s="142"/>
      <c r="B168" s="142"/>
      <c r="C168" s="142"/>
      <c r="D168" s="142"/>
      <c r="E168" s="142"/>
      <c r="F168" s="142"/>
      <c r="G168" s="143"/>
      <c r="H168" s="143"/>
      <c r="I168" s="144"/>
      <c r="J168" s="144"/>
      <c r="K168" s="145"/>
      <c r="L168" s="146"/>
      <c r="M168" s="147"/>
      <c r="N168" s="146"/>
      <c r="O168" s="144"/>
      <c r="P168" s="144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</row>
    <row r="169" ht="13.5" customHeight="1">
      <c r="A169" s="142"/>
      <c r="B169" s="142"/>
      <c r="C169" s="142"/>
      <c r="D169" s="142"/>
      <c r="E169" s="142"/>
      <c r="F169" s="142"/>
      <c r="G169" s="143"/>
      <c r="H169" s="143"/>
      <c r="I169" s="144"/>
      <c r="J169" s="144"/>
      <c r="K169" s="145"/>
      <c r="L169" s="146"/>
      <c r="M169" s="147"/>
      <c r="N169" s="146"/>
      <c r="O169" s="144"/>
      <c r="P169" s="144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  <c r="AJ169" s="142"/>
    </row>
    <row r="170" ht="13.5" customHeight="1">
      <c r="A170" s="142"/>
      <c r="B170" s="142"/>
      <c r="C170" s="142"/>
      <c r="D170" s="142"/>
      <c r="E170" s="142"/>
      <c r="F170" s="142"/>
      <c r="G170" s="143"/>
      <c r="H170" s="143"/>
      <c r="I170" s="144"/>
      <c r="J170" s="144"/>
      <c r="K170" s="145"/>
      <c r="L170" s="146"/>
      <c r="M170" s="147"/>
      <c r="N170" s="146"/>
      <c r="O170" s="144"/>
      <c r="P170" s="144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  <c r="AJ170" s="142"/>
    </row>
    <row r="171" ht="13.5" customHeight="1">
      <c r="A171" s="142"/>
      <c r="B171" s="142"/>
      <c r="C171" s="142"/>
      <c r="D171" s="142"/>
      <c r="E171" s="142"/>
      <c r="F171" s="142"/>
      <c r="G171" s="143"/>
      <c r="H171" s="143"/>
      <c r="I171" s="144"/>
      <c r="J171" s="144"/>
      <c r="K171" s="145"/>
      <c r="L171" s="146"/>
      <c r="M171" s="147"/>
      <c r="N171" s="146"/>
      <c r="O171" s="144"/>
      <c r="P171" s="144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  <c r="AJ171" s="142"/>
    </row>
    <row r="172" ht="13.5" customHeight="1">
      <c r="A172" s="142"/>
      <c r="B172" s="142"/>
      <c r="C172" s="142"/>
      <c r="D172" s="142"/>
      <c r="E172" s="142"/>
      <c r="F172" s="142"/>
      <c r="G172" s="143"/>
      <c r="H172" s="143"/>
      <c r="I172" s="144"/>
      <c r="J172" s="144"/>
      <c r="K172" s="145"/>
      <c r="L172" s="146"/>
      <c r="M172" s="147"/>
      <c r="N172" s="146"/>
      <c r="O172" s="144"/>
      <c r="P172" s="144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2"/>
    </row>
    <row r="173" ht="13.5" customHeight="1">
      <c r="A173" s="142"/>
      <c r="B173" s="142"/>
      <c r="C173" s="142"/>
      <c r="D173" s="142"/>
      <c r="E173" s="142"/>
      <c r="F173" s="142"/>
      <c r="G173" s="143"/>
      <c r="H173" s="143"/>
      <c r="I173" s="144"/>
      <c r="J173" s="144"/>
      <c r="K173" s="145"/>
      <c r="L173" s="146"/>
      <c r="M173" s="147"/>
      <c r="N173" s="146"/>
      <c r="O173" s="144"/>
      <c r="P173" s="144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2"/>
    </row>
    <row r="174" ht="13.5" customHeight="1">
      <c r="A174" s="142"/>
      <c r="B174" s="142"/>
      <c r="C174" s="142"/>
      <c r="D174" s="142"/>
      <c r="E174" s="142"/>
      <c r="F174" s="142"/>
      <c r="G174" s="143"/>
      <c r="H174" s="143"/>
      <c r="I174" s="144"/>
      <c r="J174" s="144"/>
      <c r="K174" s="145"/>
      <c r="L174" s="146"/>
      <c r="M174" s="147"/>
      <c r="N174" s="146"/>
      <c r="O174" s="144"/>
      <c r="P174" s="144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2"/>
      <c r="AI174" s="142"/>
      <c r="AJ174" s="142"/>
    </row>
    <row r="175" ht="13.5" customHeight="1">
      <c r="A175" s="142"/>
      <c r="B175" s="142"/>
      <c r="C175" s="142"/>
      <c r="D175" s="142"/>
      <c r="E175" s="142"/>
      <c r="F175" s="142"/>
      <c r="G175" s="143"/>
      <c r="H175" s="143"/>
      <c r="I175" s="144"/>
      <c r="J175" s="144"/>
      <c r="K175" s="145"/>
      <c r="L175" s="146"/>
      <c r="M175" s="147"/>
      <c r="N175" s="146"/>
      <c r="O175" s="144"/>
      <c r="P175" s="144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  <c r="AJ175" s="142"/>
    </row>
    <row r="176" ht="13.5" customHeight="1">
      <c r="A176" s="142"/>
      <c r="B176" s="142"/>
      <c r="C176" s="142"/>
      <c r="D176" s="142"/>
      <c r="E176" s="142"/>
      <c r="F176" s="142"/>
      <c r="G176" s="143"/>
      <c r="H176" s="143"/>
      <c r="I176" s="144"/>
      <c r="J176" s="144"/>
      <c r="K176" s="145"/>
      <c r="L176" s="146"/>
      <c r="M176" s="147"/>
      <c r="N176" s="146"/>
      <c r="O176" s="144"/>
      <c r="P176" s="144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</row>
    <row r="177" ht="13.5" customHeight="1">
      <c r="A177" s="142"/>
      <c r="B177" s="142"/>
      <c r="C177" s="142"/>
      <c r="D177" s="142"/>
      <c r="E177" s="142"/>
      <c r="F177" s="142"/>
      <c r="G177" s="143"/>
      <c r="H177" s="143"/>
      <c r="I177" s="144"/>
      <c r="J177" s="144"/>
      <c r="K177" s="145"/>
      <c r="L177" s="146"/>
      <c r="M177" s="147"/>
      <c r="N177" s="146"/>
      <c r="O177" s="144"/>
      <c r="P177" s="144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</row>
    <row r="178" ht="13.5" customHeight="1">
      <c r="A178" s="142"/>
      <c r="B178" s="142"/>
      <c r="C178" s="142"/>
      <c r="D178" s="142"/>
      <c r="E178" s="142"/>
      <c r="F178" s="142"/>
      <c r="G178" s="143"/>
      <c r="H178" s="143"/>
      <c r="I178" s="144"/>
      <c r="J178" s="144"/>
      <c r="K178" s="145"/>
      <c r="L178" s="146"/>
      <c r="M178" s="147"/>
      <c r="N178" s="146"/>
      <c r="O178" s="144"/>
      <c r="P178" s="144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</row>
    <row r="179" ht="13.5" customHeight="1">
      <c r="A179" s="142"/>
      <c r="B179" s="142"/>
      <c r="C179" s="142"/>
      <c r="D179" s="142"/>
      <c r="E179" s="142"/>
      <c r="F179" s="142"/>
      <c r="G179" s="143"/>
      <c r="H179" s="143"/>
      <c r="I179" s="144"/>
      <c r="J179" s="144"/>
      <c r="K179" s="145"/>
      <c r="L179" s="146"/>
      <c r="M179" s="147"/>
      <c r="N179" s="146"/>
      <c r="O179" s="144"/>
      <c r="P179" s="144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</row>
    <row r="180" ht="13.5" customHeight="1">
      <c r="A180" s="142"/>
      <c r="B180" s="142"/>
      <c r="C180" s="142"/>
      <c r="D180" s="142"/>
      <c r="E180" s="142"/>
      <c r="F180" s="142"/>
      <c r="G180" s="143"/>
      <c r="H180" s="143"/>
      <c r="I180" s="144"/>
      <c r="J180" s="144"/>
      <c r="K180" s="145"/>
      <c r="L180" s="146"/>
      <c r="M180" s="147"/>
      <c r="N180" s="146"/>
      <c r="O180" s="144"/>
      <c r="P180" s="144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</row>
    <row r="181" ht="13.5" customHeight="1">
      <c r="A181" s="142"/>
      <c r="B181" s="142"/>
      <c r="C181" s="142"/>
      <c r="D181" s="142"/>
      <c r="E181" s="142"/>
      <c r="F181" s="142"/>
      <c r="G181" s="143"/>
      <c r="H181" s="143"/>
      <c r="I181" s="144"/>
      <c r="J181" s="144"/>
      <c r="K181" s="145"/>
      <c r="L181" s="146"/>
      <c r="M181" s="147"/>
      <c r="N181" s="146"/>
      <c r="O181" s="144"/>
      <c r="P181" s="144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</row>
    <row r="182" ht="13.5" customHeight="1">
      <c r="A182" s="142"/>
      <c r="B182" s="142"/>
      <c r="C182" s="142"/>
      <c r="D182" s="142"/>
      <c r="E182" s="142"/>
      <c r="F182" s="142"/>
      <c r="G182" s="143"/>
      <c r="H182" s="143"/>
      <c r="I182" s="144"/>
      <c r="J182" s="144"/>
      <c r="K182" s="145"/>
      <c r="L182" s="146"/>
      <c r="M182" s="147"/>
      <c r="N182" s="146"/>
      <c r="O182" s="144"/>
      <c r="P182" s="144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</row>
    <row r="183" ht="13.5" customHeight="1">
      <c r="A183" s="142"/>
      <c r="B183" s="142"/>
      <c r="C183" s="142"/>
      <c r="D183" s="142"/>
      <c r="E183" s="142"/>
      <c r="F183" s="142"/>
      <c r="G183" s="143"/>
      <c r="H183" s="143"/>
      <c r="I183" s="144"/>
      <c r="J183" s="144"/>
      <c r="K183" s="145"/>
      <c r="L183" s="146"/>
      <c r="M183" s="147"/>
      <c r="N183" s="146"/>
      <c r="O183" s="144"/>
      <c r="P183" s="144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</row>
    <row r="184" ht="13.5" customHeight="1">
      <c r="A184" s="142"/>
      <c r="B184" s="142"/>
      <c r="C184" s="142"/>
      <c r="D184" s="142"/>
      <c r="E184" s="142"/>
      <c r="F184" s="142"/>
      <c r="G184" s="143"/>
      <c r="H184" s="143"/>
      <c r="I184" s="144"/>
      <c r="J184" s="144"/>
      <c r="K184" s="145"/>
      <c r="L184" s="146"/>
      <c r="M184" s="147"/>
      <c r="N184" s="146"/>
      <c r="O184" s="144"/>
      <c r="P184" s="144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</row>
    <row r="185" ht="13.5" customHeight="1">
      <c r="A185" s="142"/>
      <c r="B185" s="142"/>
      <c r="C185" s="142"/>
      <c r="D185" s="142"/>
      <c r="E185" s="142"/>
      <c r="F185" s="142"/>
      <c r="G185" s="143"/>
      <c r="H185" s="143"/>
      <c r="I185" s="144"/>
      <c r="J185" s="144"/>
      <c r="K185" s="145"/>
      <c r="L185" s="146"/>
      <c r="M185" s="147"/>
      <c r="N185" s="146"/>
      <c r="O185" s="144"/>
      <c r="P185" s="144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</row>
    <row r="186" ht="13.5" customHeight="1">
      <c r="A186" s="142"/>
      <c r="B186" s="142"/>
      <c r="C186" s="142"/>
      <c r="D186" s="142"/>
      <c r="E186" s="142"/>
      <c r="F186" s="142"/>
      <c r="G186" s="143"/>
      <c r="H186" s="143"/>
      <c r="I186" s="144"/>
      <c r="J186" s="144"/>
      <c r="K186" s="145"/>
      <c r="L186" s="146"/>
      <c r="M186" s="147"/>
      <c r="N186" s="146"/>
      <c r="O186" s="144"/>
      <c r="P186" s="144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</row>
    <row r="187" ht="13.5" customHeight="1">
      <c r="A187" s="142"/>
      <c r="B187" s="142"/>
      <c r="C187" s="142"/>
      <c r="D187" s="142"/>
      <c r="E187" s="142"/>
      <c r="F187" s="142"/>
      <c r="G187" s="143"/>
      <c r="H187" s="143"/>
      <c r="I187" s="144"/>
      <c r="J187" s="144"/>
      <c r="K187" s="145"/>
      <c r="L187" s="146"/>
      <c r="M187" s="147"/>
      <c r="N187" s="146"/>
      <c r="O187" s="144"/>
      <c r="P187" s="144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</row>
    <row r="188" ht="13.5" customHeight="1">
      <c r="A188" s="142"/>
      <c r="B188" s="142"/>
      <c r="C188" s="142"/>
      <c r="D188" s="142"/>
      <c r="E188" s="142"/>
      <c r="F188" s="142"/>
      <c r="G188" s="143"/>
      <c r="H188" s="143"/>
      <c r="I188" s="144"/>
      <c r="J188" s="144"/>
      <c r="K188" s="145"/>
      <c r="L188" s="146"/>
      <c r="M188" s="147"/>
      <c r="N188" s="146"/>
      <c r="O188" s="144"/>
      <c r="P188" s="144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</row>
    <row r="189" ht="13.5" customHeight="1">
      <c r="A189" s="142"/>
      <c r="B189" s="142"/>
      <c r="C189" s="142"/>
      <c r="D189" s="142"/>
      <c r="E189" s="142"/>
      <c r="F189" s="142"/>
      <c r="G189" s="143"/>
      <c r="H189" s="143"/>
      <c r="I189" s="144"/>
      <c r="J189" s="144"/>
      <c r="K189" s="145"/>
      <c r="L189" s="146"/>
      <c r="M189" s="147"/>
      <c r="N189" s="146"/>
      <c r="O189" s="144"/>
      <c r="P189" s="144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</row>
    <row r="190" ht="13.5" customHeight="1">
      <c r="A190" s="142"/>
      <c r="B190" s="142"/>
      <c r="C190" s="142"/>
      <c r="D190" s="142"/>
      <c r="E190" s="142"/>
      <c r="F190" s="142"/>
      <c r="G190" s="143"/>
      <c r="H190" s="143"/>
      <c r="I190" s="144"/>
      <c r="J190" s="144"/>
      <c r="K190" s="145"/>
      <c r="L190" s="146"/>
      <c r="M190" s="147"/>
      <c r="N190" s="146"/>
      <c r="O190" s="144"/>
      <c r="P190" s="144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  <c r="AJ190" s="142"/>
    </row>
    <row r="191" ht="13.5" customHeight="1">
      <c r="A191" s="142"/>
      <c r="B191" s="142"/>
      <c r="C191" s="142"/>
      <c r="D191" s="142"/>
      <c r="E191" s="142"/>
      <c r="F191" s="142"/>
      <c r="G191" s="143"/>
      <c r="H191" s="143"/>
      <c r="I191" s="144"/>
      <c r="J191" s="144"/>
      <c r="K191" s="145"/>
      <c r="L191" s="146"/>
      <c r="M191" s="147"/>
      <c r="N191" s="146"/>
      <c r="O191" s="144"/>
      <c r="P191" s="144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  <c r="AI191" s="142"/>
      <c r="AJ191" s="142"/>
    </row>
    <row r="192" ht="13.5" customHeight="1">
      <c r="A192" s="142"/>
      <c r="B192" s="142"/>
      <c r="C192" s="142"/>
      <c r="D192" s="142"/>
      <c r="E192" s="142"/>
      <c r="F192" s="142"/>
      <c r="G192" s="143"/>
      <c r="H192" s="143"/>
      <c r="I192" s="144"/>
      <c r="J192" s="144"/>
      <c r="K192" s="145"/>
      <c r="L192" s="146"/>
      <c r="M192" s="147"/>
      <c r="N192" s="146"/>
      <c r="O192" s="144"/>
      <c r="P192" s="144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2"/>
      <c r="AI192" s="142"/>
      <c r="AJ192" s="142"/>
    </row>
    <row r="193" ht="13.5" customHeight="1">
      <c r="A193" s="142"/>
      <c r="B193" s="142"/>
      <c r="C193" s="142"/>
      <c r="D193" s="142"/>
      <c r="E193" s="142"/>
      <c r="F193" s="142"/>
      <c r="G193" s="143"/>
      <c r="H193" s="143"/>
      <c r="I193" s="144"/>
      <c r="J193" s="144"/>
      <c r="K193" s="145"/>
      <c r="L193" s="146"/>
      <c r="M193" s="147"/>
      <c r="N193" s="146"/>
      <c r="O193" s="144"/>
      <c r="P193" s="144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2"/>
      <c r="AI193" s="142"/>
      <c r="AJ193" s="142"/>
    </row>
    <row r="194" ht="13.5" customHeight="1">
      <c r="A194" s="142"/>
      <c r="B194" s="142"/>
      <c r="C194" s="142"/>
      <c r="D194" s="142"/>
      <c r="E194" s="142"/>
      <c r="F194" s="142"/>
      <c r="G194" s="143"/>
      <c r="H194" s="143"/>
      <c r="I194" s="144"/>
      <c r="J194" s="144"/>
      <c r="K194" s="145"/>
      <c r="L194" s="146"/>
      <c r="M194" s="147"/>
      <c r="N194" s="146"/>
      <c r="O194" s="144"/>
      <c r="P194" s="144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2"/>
      <c r="AI194" s="142"/>
      <c r="AJ194" s="142"/>
    </row>
    <row r="195" ht="13.5" customHeight="1">
      <c r="A195" s="142"/>
      <c r="B195" s="142"/>
      <c r="C195" s="142"/>
      <c r="D195" s="142"/>
      <c r="E195" s="142"/>
      <c r="F195" s="142"/>
      <c r="G195" s="143"/>
      <c r="H195" s="143"/>
      <c r="I195" s="144"/>
      <c r="J195" s="144"/>
      <c r="K195" s="145"/>
      <c r="L195" s="146"/>
      <c r="M195" s="147"/>
      <c r="N195" s="146"/>
      <c r="O195" s="144"/>
      <c r="P195" s="144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2"/>
      <c r="AI195" s="142"/>
      <c r="AJ195" s="142"/>
    </row>
    <row r="196" ht="13.5" customHeight="1">
      <c r="A196" s="142"/>
      <c r="B196" s="142"/>
      <c r="C196" s="142"/>
      <c r="D196" s="142"/>
      <c r="E196" s="142"/>
      <c r="F196" s="142"/>
      <c r="G196" s="143"/>
      <c r="H196" s="143"/>
      <c r="I196" s="144"/>
      <c r="J196" s="144"/>
      <c r="K196" s="145"/>
      <c r="L196" s="146"/>
      <c r="M196" s="147"/>
      <c r="N196" s="146"/>
      <c r="O196" s="144"/>
      <c r="P196" s="144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  <c r="AJ196" s="142"/>
    </row>
    <row r="197" ht="13.5" customHeight="1">
      <c r="A197" s="142"/>
      <c r="B197" s="142"/>
      <c r="C197" s="142"/>
      <c r="D197" s="142"/>
      <c r="E197" s="142"/>
      <c r="F197" s="142"/>
      <c r="G197" s="143"/>
      <c r="H197" s="143"/>
      <c r="I197" s="144"/>
      <c r="J197" s="144"/>
      <c r="K197" s="145"/>
      <c r="L197" s="146"/>
      <c r="M197" s="147"/>
      <c r="N197" s="146"/>
      <c r="O197" s="144"/>
      <c r="P197" s="144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</row>
    <row r="198" ht="13.5" customHeight="1">
      <c r="A198" s="142"/>
      <c r="B198" s="142"/>
      <c r="C198" s="142"/>
      <c r="D198" s="142"/>
      <c r="E198" s="142"/>
      <c r="F198" s="142"/>
      <c r="G198" s="143"/>
      <c r="H198" s="143"/>
      <c r="I198" s="144"/>
      <c r="J198" s="144"/>
      <c r="K198" s="145"/>
      <c r="L198" s="146"/>
      <c r="M198" s="147"/>
      <c r="N198" s="146"/>
      <c r="O198" s="144"/>
      <c r="P198" s="144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</row>
    <row r="199" ht="13.5" customHeight="1">
      <c r="A199" s="142"/>
      <c r="B199" s="142"/>
      <c r="C199" s="142"/>
      <c r="D199" s="142"/>
      <c r="E199" s="142"/>
      <c r="F199" s="142"/>
      <c r="G199" s="143"/>
      <c r="H199" s="143"/>
      <c r="I199" s="144"/>
      <c r="J199" s="144"/>
      <c r="K199" s="145"/>
      <c r="L199" s="146"/>
      <c r="M199" s="147"/>
      <c r="N199" s="146"/>
      <c r="O199" s="144"/>
      <c r="P199" s="144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</row>
    <row r="200" ht="13.5" customHeight="1">
      <c r="A200" s="142"/>
      <c r="B200" s="142"/>
      <c r="C200" s="142"/>
      <c r="D200" s="142"/>
      <c r="E200" s="142"/>
      <c r="F200" s="142"/>
      <c r="G200" s="143"/>
      <c r="H200" s="143"/>
      <c r="I200" s="144"/>
      <c r="J200" s="144"/>
      <c r="K200" s="145"/>
      <c r="L200" s="146"/>
      <c r="M200" s="147"/>
      <c r="N200" s="146"/>
      <c r="O200" s="144"/>
      <c r="P200" s="144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</row>
    <row r="201" ht="13.5" customHeight="1">
      <c r="A201" s="142"/>
      <c r="B201" s="142"/>
      <c r="C201" s="142"/>
      <c r="D201" s="142"/>
      <c r="E201" s="142"/>
      <c r="F201" s="142"/>
      <c r="G201" s="143"/>
      <c r="H201" s="143"/>
      <c r="I201" s="144"/>
      <c r="J201" s="144"/>
      <c r="K201" s="145"/>
      <c r="L201" s="146"/>
      <c r="M201" s="147"/>
      <c r="N201" s="146"/>
      <c r="O201" s="144"/>
      <c r="P201" s="144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  <c r="AJ201" s="142"/>
    </row>
    <row r="202" ht="13.5" customHeight="1">
      <c r="A202" s="142"/>
      <c r="B202" s="142"/>
      <c r="C202" s="142"/>
      <c r="D202" s="142"/>
      <c r="E202" s="142"/>
      <c r="F202" s="142"/>
      <c r="G202" s="143"/>
      <c r="H202" s="143"/>
      <c r="I202" s="144"/>
      <c r="J202" s="144"/>
      <c r="K202" s="145"/>
      <c r="L202" s="146"/>
      <c r="M202" s="147"/>
      <c r="N202" s="146"/>
      <c r="O202" s="144"/>
      <c r="P202" s="144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  <c r="AJ202" s="142"/>
    </row>
    <row r="203" ht="13.5" customHeight="1">
      <c r="A203" s="142"/>
      <c r="B203" s="142"/>
      <c r="C203" s="142"/>
      <c r="D203" s="142"/>
      <c r="E203" s="142"/>
      <c r="F203" s="142"/>
      <c r="G203" s="143"/>
      <c r="H203" s="143"/>
      <c r="I203" s="144"/>
      <c r="J203" s="144"/>
      <c r="K203" s="145"/>
      <c r="L203" s="146"/>
      <c r="M203" s="147"/>
      <c r="N203" s="146"/>
      <c r="O203" s="144"/>
      <c r="P203" s="144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142"/>
    </row>
    <row r="204" ht="13.5" customHeight="1">
      <c r="A204" s="142"/>
      <c r="B204" s="142"/>
      <c r="C204" s="142"/>
      <c r="D204" s="142"/>
      <c r="E204" s="142"/>
      <c r="F204" s="142"/>
      <c r="G204" s="143"/>
      <c r="H204" s="143"/>
      <c r="I204" s="144"/>
      <c r="J204" s="144"/>
      <c r="K204" s="145"/>
      <c r="L204" s="146"/>
      <c r="M204" s="147"/>
      <c r="N204" s="146"/>
      <c r="O204" s="144"/>
      <c r="P204" s="144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2"/>
      <c r="AI204" s="142"/>
      <c r="AJ204" s="142"/>
    </row>
    <row r="205" ht="13.5" customHeight="1">
      <c r="A205" s="142"/>
      <c r="B205" s="142"/>
      <c r="C205" s="142"/>
      <c r="D205" s="142"/>
      <c r="E205" s="142"/>
      <c r="F205" s="142"/>
      <c r="G205" s="143"/>
      <c r="H205" s="143"/>
      <c r="I205" s="144"/>
      <c r="J205" s="144"/>
      <c r="K205" s="145"/>
      <c r="L205" s="146"/>
      <c r="M205" s="147"/>
      <c r="N205" s="146"/>
      <c r="O205" s="144"/>
      <c r="P205" s="144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  <c r="AJ205" s="142"/>
    </row>
    <row r="206" ht="13.5" customHeight="1">
      <c r="A206" s="142"/>
      <c r="B206" s="142"/>
      <c r="C206" s="142"/>
      <c r="D206" s="142"/>
      <c r="E206" s="142"/>
      <c r="F206" s="142"/>
      <c r="G206" s="143"/>
      <c r="H206" s="143"/>
      <c r="I206" s="144"/>
      <c r="J206" s="144"/>
      <c r="K206" s="145"/>
      <c r="L206" s="146"/>
      <c r="M206" s="147"/>
      <c r="N206" s="146"/>
      <c r="O206" s="144"/>
      <c r="P206" s="144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2"/>
      <c r="AI206" s="142"/>
      <c r="AJ206" s="142"/>
    </row>
    <row r="207" ht="13.5" customHeight="1">
      <c r="A207" s="142"/>
      <c r="B207" s="142"/>
      <c r="C207" s="142"/>
      <c r="D207" s="142"/>
      <c r="E207" s="142"/>
      <c r="F207" s="142"/>
      <c r="G207" s="143"/>
      <c r="H207" s="143"/>
      <c r="I207" s="144"/>
      <c r="J207" s="144"/>
      <c r="K207" s="145"/>
      <c r="L207" s="146"/>
      <c r="M207" s="147"/>
      <c r="N207" s="146"/>
      <c r="O207" s="144"/>
      <c r="P207" s="144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2"/>
      <c r="AI207" s="142"/>
      <c r="AJ207" s="142"/>
    </row>
    <row r="208" ht="13.5" customHeight="1">
      <c r="A208" s="142"/>
      <c r="B208" s="142"/>
      <c r="C208" s="142"/>
      <c r="D208" s="142"/>
      <c r="E208" s="142"/>
      <c r="F208" s="142"/>
      <c r="G208" s="143"/>
      <c r="H208" s="143"/>
      <c r="I208" s="144"/>
      <c r="J208" s="144"/>
      <c r="K208" s="145"/>
      <c r="L208" s="146"/>
      <c r="M208" s="147"/>
      <c r="N208" s="146"/>
      <c r="O208" s="144"/>
      <c r="P208" s="144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  <c r="AJ208" s="142"/>
    </row>
    <row r="209" ht="13.5" customHeight="1">
      <c r="A209" s="142"/>
      <c r="B209" s="142"/>
      <c r="C209" s="142"/>
      <c r="D209" s="142"/>
      <c r="E209" s="142"/>
      <c r="F209" s="142"/>
      <c r="G209" s="143"/>
      <c r="H209" s="143"/>
      <c r="I209" s="144"/>
      <c r="J209" s="144"/>
      <c r="K209" s="145"/>
      <c r="L209" s="146"/>
      <c r="M209" s="147"/>
      <c r="N209" s="146"/>
      <c r="O209" s="144"/>
      <c r="P209" s="144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2"/>
      <c r="AI209" s="142"/>
      <c r="AJ209" s="142"/>
    </row>
    <row r="210" ht="13.5" customHeight="1">
      <c r="A210" s="142"/>
      <c r="B210" s="142"/>
      <c r="C210" s="142"/>
      <c r="D210" s="142"/>
      <c r="E210" s="142"/>
      <c r="F210" s="142"/>
      <c r="G210" s="143"/>
      <c r="H210" s="143"/>
      <c r="I210" s="144"/>
      <c r="J210" s="144"/>
      <c r="K210" s="145"/>
      <c r="L210" s="146"/>
      <c r="M210" s="147"/>
      <c r="N210" s="146"/>
      <c r="O210" s="144"/>
      <c r="P210" s="144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2"/>
      <c r="AI210" s="142"/>
      <c r="AJ210" s="142"/>
    </row>
    <row r="211" ht="13.5" customHeight="1">
      <c r="A211" s="142"/>
      <c r="B211" s="142"/>
      <c r="C211" s="142"/>
      <c r="D211" s="142"/>
      <c r="E211" s="142"/>
      <c r="F211" s="142"/>
      <c r="G211" s="143"/>
      <c r="H211" s="143"/>
      <c r="I211" s="144"/>
      <c r="J211" s="144"/>
      <c r="K211" s="145"/>
      <c r="L211" s="146"/>
      <c r="M211" s="147"/>
      <c r="N211" s="146"/>
      <c r="O211" s="144"/>
      <c r="P211" s="144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  <c r="AF211" s="142"/>
      <c r="AG211" s="142"/>
      <c r="AH211" s="142"/>
      <c r="AI211" s="142"/>
      <c r="AJ211" s="142"/>
    </row>
    <row r="212" ht="13.5" customHeight="1">
      <c r="A212" s="142"/>
      <c r="B212" s="142"/>
      <c r="C212" s="142"/>
      <c r="D212" s="142"/>
      <c r="E212" s="142"/>
      <c r="F212" s="142"/>
      <c r="G212" s="143"/>
      <c r="H212" s="143"/>
      <c r="I212" s="144"/>
      <c r="J212" s="144"/>
      <c r="K212" s="145"/>
      <c r="L212" s="146"/>
      <c r="M212" s="147"/>
      <c r="N212" s="146"/>
      <c r="O212" s="144"/>
      <c r="P212" s="144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  <c r="AF212" s="142"/>
      <c r="AG212" s="142"/>
      <c r="AH212" s="142"/>
      <c r="AI212" s="142"/>
      <c r="AJ212" s="142"/>
    </row>
    <row r="213" ht="13.5" customHeight="1">
      <c r="A213" s="142"/>
      <c r="B213" s="142"/>
      <c r="C213" s="142"/>
      <c r="D213" s="142"/>
      <c r="E213" s="142"/>
      <c r="F213" s="142"/>
      <c r="G213" s="143"/>
      <c r="H213" s="143"/>
      <c r="I213" s="144"/>
      <c r="J213" s="144"/>
      <c r="K213" s="145"/>
      <c r="L213" s="146"/>
      <c r="M213" s="147"/>
      <c r="N213" s="146"/>
      <c r="O213" s="144"/>
      <c r="P213" s="144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  <c r="AF213" s="142"/>
      <c r="AG213" s="142"/>
      <c r="AH213" s="142"/>
      <c r="AI213" s="142"/>
      <c r="AJ213" s="142"/>
    </row>
    <row r="214" ht="13.5" customHeight="1">
      <c r="A214" s="142"/>
      <c r="B214" s="142"/>
      <c r="C214" s="142"/>
      <c r="D214" s="142"/>
      <c r="E214" s="142"/>
      <c r="F214" s="142"/>
      <c r="G214" s="143"/>
      <c r="H214" s="143"/>
      <c r="I214" s="144"/>
      <c r="J214" s="144"/>
      <c r="K214" s="145"/>
      <c r="L214" s="146"/>
      <c r="M214" s="147"/>
      <c r="N214" s="146"/>
      <c r="O214" s="144"/>
      <c r="P214" s="144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42"/>
      <c r="AG214" s="142"/>
      <c r="AH214" s="142"/>
      <c r="AI214" s="142"/>
      <c r="AJ214" s="142"/>
    </row>
    <row r="215" ht="13.5" customHeight="1">
      <c r="A215" s="142"/>
      <c r="B215" s="142"/>
      <c r="C215" s="142"/>
      <c r="D215" s="142"/>
      <c r="E215" s="142"/>
      <c r="F215" s="142"/>
      <c r="G215" s="143"/>
      <c r="H215" s="143"/>
      <c r="I215" s="144"/>
      <c r="J215" s="144"/>
      <c r="K215" s="145"/>
      <c r="L215" s="146"/>
      <c r="M215" s="147"/>
      <c r="N215" s="146"/>
      <c r="O215" s="144"/>
      <c r="P215" s="144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  <c r="AF215" s="142"/>
      <c r="AG215" s="142"/>
      <c r="AH215" s="142"/>
      <c r="AI215" s="142"/>
      <c r="AJ215" s="142"/>
    </row>
    <row r="216" ht="13.5" customHeight="1">
      <c r="A216" s="142"/>
      <c r="B216" s="142"/>
      <c r="C216" s="142"/>
      <c r="D216" s="142"/>
      <c r="E216" s="142"/>
      <c r="F216" s="142"/>
      <c r="G216" s="143"/>
      <c r="H216" s="143"/>
      <c r="I216" s="144"/>
      <c r="J216" s="144"/>
      <c r="K216" s="145"/>
      <c r="L216" s="146"/>
      <c r="M216" s="147"/>
      <c r="N216" s="146"/>
      <c r="O216" s="144"/>
      <c r="P216" s="144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  <c r="AF216" s="142"/>
      <c r="AG216" s="142"/>
      <c r="AH216" s="142"/>
      <c r="AI216" s="142"/>
      <c r="AJ216" s="142"/>
    </row>
    <row r="217" ht="13.5" customHeight="1">
      <c r="A217" s="142"/>
      <c r="B217" s="142"/>
      <c r="C217" s="142"/>
      <c r="D217" s="142"/>
      <c r="E217" s="142"/>
      <c r="F217" s="142"/>
      <c r="G217" s="143"/>
      <c r="H217" s="143"/>
      <c r="I217" s="144"/>
      <c r="J217" s="144"/>
      <c r="K217" s="145"/>
      <c r="L217" s="146"/>
      <c r="M217" s="147"/>
      <c r="N217" s="146"/>
      <c r="O217" s="144"/>
      <c r="P217" s="144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42"/>
      <c r="AG217" s="142"/>
      <c r="AH217" s="142"/>
      <c r="AI217" s="142"/>
      <c r="AJ217" s="142"/>
    </row>
    <row r="218" ht="13.5" customHeight="1">
      <c r="A218" s="142"/>
      <c r="B218" s="142"/>
      <c r="C218" s="142"/>
      <c r="D218" s="142"/>
      <c r="E218" s="142"/>
      <c r="F218" s="142"/>
      <c r="G218" s="143"/>
      <c r="H218" s="143"/>
      <c r="I218" s="144"/>
      <c r="J218" s="144"/>
      <c r="K218" s="145"/>
      <c r="L218" s="146"/>
      <c r="M218" s="147"/>
      <c r="N218" s="146"/>
      <c r="O218" s="144"/>
      <c r="P218" s="144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42"/>
      <c r="AG218" s="142"/>
      <c r="AH218" s="142"/>
      <c r="AI218" s="142"/>
      <c r="AJ218" s="142"/>
    </row>
    <row r="219" ht="13.5" customHeight="1">
      <c r="A219" s="142"/>
      <c r="B219" s="142"/>
      <c r="C219" s="142"/>
      <c r="D219" s="142"/>
      <c r="E219" s="142"/>
      <c r="F219" s="142"/>
      <c r="G219" s="143"/>
      <c r="H219" s="143"/>
      <c r="I219" s="144"/>
      <c r="J219" s="144"/>
      <c r="K219" s="145"/>
      <c r="L219" s="146"/>
      <c r="M219" s="147"/>
      <c r="N219" s="146"/>
      <c r="O219" s="144"/>
      <c r="P219" s="144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  <c r="AF219" s="142"/>
      <c r="AG219" s="142"/>
      <c r="AH219" s="142"/>
      <c r="AI219" s="142"/>
      <c r="AJ219" s="142"/>
    </row>
    <row r="220" ht="13.5" customHeight="1">
      <c r="A220" s="142"/>
      <c r="B220" s="142"/>
      <c r="C220" s="142"/>
      <c r="D220" s="142"/>
      <c r="E220" s="142"/>
      <c r="F220" s="142"/>
      <c r="G220" s="143"/>
      <c r="H220" s="143"/>
      <c r="I220" s="144"/>
      <c r="J220" s="144"/>
      <c r="K220" s="145"/>
      <c r="L220" s="146"/>
      <c r="M220" s="147"/>
      <c r="N220" s="146"/>
      <c r="O220" s="144"/>
      <c r="P220" s="144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  <c r="AF220" s="142"/>
      <c r="AG220" s="142"/>
      <c r="AH220" s="142"/>
      <c r="AI220" s="142"/>
      <c r="AJ220" s="142"/>
    </row>
    <row r="221" ht="13.5" customHeight="1">
      <c r="A221" s="142"/>
      <c r="B221" s="142"/>
      <c r="C221" s="142"/>
      <c r="D221" s="142"/>
      <c r="E221" s="142"/>
      <c r="F221" s="142"/>
      <c r="G221" s="143"/>
      <c r="H221" s="143"/>
      <c r="I221" s="144"/>
      <c r="J221" s="144"/>
      <c r="K221" s="145"/>
      <c r="L221" s="146"/>
      <c r="M221" s="147"/>
      <c r="N221" s="146"/>
      <c r="O221" s="144"/>
      <c r="P221" s="144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  <c r="AF221" s="142"/>
      <c r="AG221" s="142"/>
      <c r="AH221" s="142"/>
      <c r="AI221" s="142"/>
      <c r="AJ221" s="142"/>
    </row>
    <row r="222" ht="13.5" customHeight="1">
      <c r="A222" s="142"/>
      <c r="B222" s="142"/>
      <c r="C222" s="142"/>
      <c r="D222" s="142"/>
      <c r="E222" s="142"/>
      <c r="F222" s="142"/>
      <c r="G222" s="143"/>
      <c r="H222" s="143"/>
      <c r="I222" s="144"/>
      <c r="J222" s="144"/>
      <c r="K222" s="145"/>
      <c r="L222" s="146"/>
      <c r="M222" s="147"/>
      <c r="N222" s="146"/>
      <c r="O222" s="144"/>
      <c r="P222" s="144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42"/>
      <c r="AG222" s="142"/>
      <c r="AH222" s="142"/>
      <c r="AI222" s="142"/>
      <c r="AJ222" s="142"/>
    </row>
    <row r="223" ht="13.5" customHeight="1">
      <c r="A223" s="142"/>
      <c r="B223" s="142"/>
      <c r="C223" s="142"/>
      <c r="D223" s="142"/>
      <c r="E223" s="142"/>
      <c r="F223" s="142"/>
      <c r="G223" s="143"/>
      <c r="H223" s="143"/>
      <c r="I223" s="144"/>
      <c r="J223" s="144"/>
      <c r="K223" s="145"/>
      <c r="L223" s="146"/>
      <c r="M223" s="147"/>
      <c r="N223" s="146"/>
      <c r="O223" s="144"/>
      <c r="P223" s="144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  <c r="AF223" s="142"/>
      <c r="AG223" s="142"/>
      <c r="AH223" s="142"/>
      <c r="AI223" s="142"/>
      <c r="AJ223" s="142"/>
    </row>
    <row r="224" ht="13.5" customHeight="1">
      <c r="A224" s="142"/>
      <c r="B224" s="142"/>
      <c r="C224" s="142"/>
      <c r="D224" s="142"/>
      <c r="E224" s="142"/>
      <c r="F224" s="142"/>
      <c r="G224" s="143"/>
      <c r="H224" s="143"/>
      <c r="I224" s="144"/>
      <c r="J224" s="144"/>
      <c r="K224" s="145"/>
      <c r="L224" s="146"/>
      <c r="M224" s="147"/>
      <c r="N224" s="146"/>
      <c r="O224" s="144"/>
      <c r="P224" s="144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  <c r="AF224" s="142"/>
      <c r="AG224" s="142"/>
      <c r="AH224" s="142"/>
      <c r="AI224" s="142"/>
      <c r="AJ224" s="142"/>
    </row>
    <row r="225" ht="13.5" customHeight="1">
      <c r="A225" s="142"/>
      <c r="B225" s="142"/>
      <c r="C225" s="142"/>
      <c r="D225" s="142"/>
      <c r="E225" s="142"/>
      <c r="F225" s="142"/>
      <c r="G225" s="143"/>
      <c r="H225" s="143"/>
      <c r="I225" s="144"/>
      <c r="J225" s="144"/>
      <c r="K225" s="145"/>
      <c r="L225" s="146"/>
      <c r="M225" s="147"/>
      <c r="N225" s="146"/>
      <c r="O225" s="144"/>
      <c r="P225" s="144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  <c r="AF225" s="142"/>
      <c r="AG225" s="142"/>
      <c r="AH225" s="142"/>
      <c r="AI225" s="142"/>
      <c r="AJ225" s="142"/>
    </row>
    <row r="226" ht="13.5" customHeight="1">
      <c r="A226" s="142"/>
      <c r="B226" s="142"/>
      <c r="C226" s="142"/>
      <c r="D226" s="142"/>
      <c r="E226" s="142"/>
      <c r="F226" s="142"/>
      <c r="G226" s="143"/>
      <c r="H226" s="143"/>
      <c r="I226" s="144"/>
      <c r="J226" s="144"/>
      <c r="K226" s="145"/>
      <c r="L226" s="146"/>
      <c r="M226" s="147"/>
      <c r="N226" s="146"/>
      <c r="O226" s="144"/>
      <c r="P226" s="144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142"/>
      <c r="AJ226" s="142"/>
    </row>
    <row r="227" ht="13.5" customHeight="1">
      <c r="A227" s="142"/>
      <c r="B227" s="142"/>
      <c r="C227" s="142"/>
      <c r="D227" s="142"/>
      <c r="E227" s="142"/>
      <c r="F227" s="142"/>
      <c r="G227" s="143"/>
      <c r="H227" s="143"/>
      <c r="I227" s="144"/>
      <c r="J227" s="144"/>
      <c r="K227" s="145"/>
      <c r="L227" s="146"/>
      <c r="M227" s="147"/>
      <c r="N227" s="146"/>
      <c r="O227" s="144"/>
      <c r="P227" s="144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  <c r="AE227" s="142"/>
      <c r="AF227" s="142"/>
      <c r="AG227" s="142"/>
      <c r="AH227" s="142"/>
      <c r="AI227" s="142"/>
      <c r="AJ227" s="142"/>
    </row>
    <row r="228" ht="13.5" customHeight="1">
      <c r="A228" s="142"/>
      <c r="B228" s="142"/>
      <c r="C228" s="142"/>
      <c r="D228" s="142"/>
      <c r="E228" s="142"/>
      <c r="F228" s="142"/>
      <c r="G228" s="143"/>
      <c r="H228" s="143"/>
      <c r="I228" s="144"/>
      <c r="J228" s="144"/>
      <c r="K228" s="145"/>
      <c r="L228" s="146"/>
      <c r="M228" s="147"/>
      <c r="N228" s="146"/>
      <c r="O228" s="144"/>
      <c r="P228" s="144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  <c r="AF228" s="142"/>
      <c r="AG228" s="142"/>
      <c r="AH228" s="142"/>
      <c r="AI228" s="142"/>
      <c r="AJ228" s="142"/>
    </row>
    <row r="229" ht="13.5" customHeight="1">
      <c r="A229" s="142"/>
      <c r="B229" s="142"/>
      <c r="C229" s="142"/>
      <c r="D229" s="142"/>
      <c r="E229" s="142"/>
      <c r="F229" s="142"/>
      <c r="G229" s="143"/>
      <c r="H229" s="143"/>
      <c r="I229" s="144"/>
      <c r="J229" s="144"/>
      <c r="K229" s="145"/>
      <c r="L229" s="146"/>
      <c r="M229" s="147"/>
      <c r="N229" s="146"/>
      <c r="O229" s="144"/>
      <c r="P229" s="144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  <c r="AF229" s="142"/>
      <c r="AG229" s="142"/>
      <c r="AH229" s="142"/>
      <c r="AI229" s="142"/>
      <c r="AJ229" s="142"/>
    </row>
    <row r="230" ht="13.5" customHeight="1">
      <c r="A230" s="142"/>
      <c r="B230" s="142"/>
      <c r="C230" s="142"/>
      <c r="D230" s="142"/>
      <c r="E230" s="142"/>
      <c r="F230" s="142"/>
      <c r="G230" s="143"/>
      <c r="H230" s="143"/>
      <c r="I230" s="144"/>
      <c r="J230" s="144"/>
      <c r="K230" s="145"/>
      <c r="L230" s="146"/>
      <c r="M230" s="147"/>
      <c r="N230" s="146"/>
      <c r="O230" s="144"/>
      <c r="P230" s="144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  <c r="AA230" s="142"/>
      <c r="AB230" s="142"/>
      <c r="AC230" s="142"/>
      <c r="AD230" s="142"/>
      <c r="AE230" s="142"/>
      <c r="AF230" s="142"/>
      <c r="AG230" s="142"/>
      <c r="AH230" s="142"/>
      <c r="AI230" s="142"/>
      <c r="AJ230" s="142"/>
    </row>
    <row r="231" ht="13.5" customHeight="1">
      <c r="A231" s="142"/>
      <c r="B231" s="142"/>
      <c r="C231" s="142"/>
      <c r="D231" s="142"/>
      <c r="E231" s="142"/>
      <c r="F231" s="142"/>
      <c r="G231" s="143"/>
      <c r="H231" s="143"/>
      <c r="I231" s="144"/>
      <c r="J231" s="144"/>
      <c r="K231" s="145"/>
      <c r="L231" s="146"/>
      <c r="M231" s="147"/>
      <c r="N231" s="146"/>
      <c r="O231" s="144"/>
      <c r="P231" s="144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  <c r="AA231" s="142"/>
      <c r="AB231" s="142"/>
      <c r="AC231" s="142"/>
      <c r="AD231" s="142"/>
      <c r="AE231" s="142"/>
      <c r="AF231" s="142"/>
      <c r="AG231" s="142"/>
      <c r="AH231" s="142"/>
      <c r="AI231" s="142"/>
      <c r="AJ231" s="142"/>
    </row>
    <row r="232" ht="13.5" customHeight="1">
      <c r="A232" s="142"/>
      <c r="B232" s="142"/>
      <c r="C232" s="142"/>
      <c r="D232" s="142"/>
      <c r="E232" s="142"/>
      <c r="F232" s="142"/>
      <c r="G232" s="143"/>
      <c r="H232" s="143"/>
      <c r="I232" s="144"/>
      <c r="J232" s="144"/>
      <c r="K232" s="145"/>
      <c r="L232" s="146"/>
      <c r="M232" s="147"/>
      <c r="N232" s="146"/>
      <c r="O232" s="144"/>
      <c r="P232" s="144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  <c r="AA232" s="142"/>
      <c r="AB232" s="142"/>
      <c r="AC232" s="142"/>
      <c r="AD232" s="142"/>
      <c r="AE232" s="142"/>
      <c r="AF232" s="142"/>
      <c r="AG232" s="142"/>
      <c r="AH232" s="142"/>
      <c r="AI232" s="142"/>
      <c r="AJ232" s="142"/>
    </row>
    <row r="233" ht="13.5" customHeight="1">
      <c r="A233" s="142"/>
      <c r="B233" s="142"/>
      <c r="C233" s="142"/>
      <c r="D233" s="142"/>
      <c r="E233" s="142"/>
      <c r="F233" s="142"/>
      <c r="G233" s="143"/>
      <c r="H233" s="143"/>
      <c r="I233" s="144"/>
      <c r="J233" s="144"/>
      <c r="K233" s="145"/>
      <c r="L233" s="146"/>
      <c r="M233" s="147"/>
      <c r="N233" s="146"/>
      <c r="O233" s="144"/>
      <c r="P233" s="144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  <c r="AA233" s="142"/>
      <c r="AB233" s="142"/>
      <c r="AC233" s="142"/>
      <c r="AD233" s="142"/>
      <c r="AE233" s="142"/>
      <c r="AF233" s="142"/>
      <c r="AG233" s="142"/>
      <c r="AH233" s="142"/>
      <c r="AI233" s="142"/>
      <c r="AJ233" s="142"/>
    </row>
    <row r="234" ht="13.5" customHeight="1">
      <c r="A234" s="142"/>
      <c r="B234" s="142"/>
      <c r="C234" s="142"/>
      <c r="D234" s="142"/>
      <c r="E234" s="142"/>
      <c r="F234" s="142"/>
      <c r="G234" s="143"/>
      <c r="H234" s="143"/>
      <c r="I234" s="144"/>
      <c r="J234" s="144"/>
      <c r="K234" s="145"/>
      <c r="L234" s="146"/>
      <c r="M234" s="147"/>
      <c r="N234" s="146"/>
      <c r="O234" s="144"/>
      <c r="P234" s="144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  <c r="AA234" s="142"/>
      <c r="AB234" s="142"/>
      <c r="AC234" s="142"/>
      <c r="AD234" s="142"/>
      <c r="AE234" s="142"/>
      <c r="AF234" s="142"/>
      <c r="AG234" s="142"/>
      <c r="AH234" s="142"/>
      <c r="AI234" s="142"/>
      <c r="AJ234" s="142"/>
    </row>
    <row r="235" ht="13.5" customHeight="1">
      <c r="A235" s="142"/>
      <c r="B235" s="142"/>
      <c r="C235" s="142"/>
      <c r="D235" s="142"/>
      <c r="E235" s="142"/>
      <c r="F235" s="142"/>
      <c r="G235" s="143"/>
      <c r="H235" s="143"/>
      <c r="I235" s="144"/>
      <c r="J235" s="144"/>
      <c r="K235" s="145"/>
      <c r="L235" s="146"/>
      <c r="M235" s="147"/>
      <c r="N235" s="146"/>
      <c r="O235" s="144"/>
      <c r="P235" s="144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  <c r="AA235" s="142"/>
      <c r="AB235" s="142"/>
      <c r="AC235" s="142"/>
      <c r="AD235" s="142"/>
      <c r="AE235" s="142"/>
      <c r="AF235" s="142"/>
      <c r="AG235" s="142"/>
      <c r="AH235" s="142"/>
      <c r="AI235" s="142"/>
      <c r="AJ235" s="142"/>
    </row>
    <row r="236" ht="13.5" customHeight="1">
      <c r="A236" s="142"/>
      <c r="B236" s="142"/>
      <c r="C236" s="142"/>
      <c r="D236" s="142"/>
      <c r="E236" s="142"/>
      <c r="F236" s="142"/>
      <c r="G236" s="143"/>
      <c r="H236" s="143"/>
      <c r="I236" s="144"/>
      <c r="J236" s="144"/>
      <c r="K236" s="145"/>
      <c r="L236" s="146"/>
      <c r="M236" s="147"/>
      <c r="N236" s="146"/>
      <c r="O236" s="144"/>
      <c r="P236" s="144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  <c r="AA236" s="142"/>
      <c r="AB236" s="142"/>
      <c r="AC236" s="142"/>
      <c r="AD236" s="142"/>
      <c r="AE236" s="142"/>
      <c r="AF236" s="142"/>
      <c r="AG236" s="142"/>
      <c r="AH236" s="142"/>
      <c r="AI236" s="142"/>
      <c r="AJ236" s="142"/>
    </row>
    <row r="237" ht="13.5" customHeight="1">
      <c r="A237" s="142"/>
      <c r="B237" s="142"/>
      <c r="C237" s="142"/>
      <c r="D237" s="142"/>
      <c r="E237" s="142"/>
      <c r="F237" s="142"/>
      <c r="G237" s="143"/>
      <c r="H237" s="143"/>
      <c r="I237" s="144"/>
      <c r="J237" s="144"/>
      <c r="K237" s="145"/>
      <c r="L237" s="146"/>
      <c r="M237" s="147"/>
      <c r="N237" s="146"/>
      <c r="O237" s="144"/>
      <c r="P237" s="144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  <c r="AA237" s="142"/>
      <c r="AB237" s="142"/>
      <c r="AC237" s="142"/>
      <c r="AD237" s="142"/>
      <c r="AE237" s="142"/>
      <c r="AF237" s="142"/>
      <c r="AG237" s="142"/>
      <c r="AH237" s="142"/>
      <c r="AI237" s="142"/>
      <c r="AJ237" s="142"/>
    </row>
    <row r="238" ht="13.5" customHeight="1">
      <c r="A238" s="142"/>
      <c r="B238" s="142"/>
      <c r="C238" s="142"/>
      <c r="D238" s="142"/>
      <c r="E238" s="142"/>
      <c r="F238" s="142"/>
      <c r="G238" s="143"/>
      <c r="H238" s="143"/>
      <c r="I238" s="144"/>
      <c r="J238" s="144"/>
      <c r="K238" s="145"/>
      <c r="L238" s="146"/>
      <c r="M238" s="147"/>
      <c r="N238" s="146"/>
      <c r="O238" s="144"/>
      <c r="P238" s="144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  <c r="AA238" s="142"/>
      <c r="AB238" s="142"/>
      <c r="AC238" s="142"/>
      <c r="AD238" s="142"/>
      <c r="AE238" s="142"/>
      <c r="AF238" s="142"/>
      <c r="AG238" s="142"/>
      <c r="AH238" s="142"/>
      <c r="AI238" s="142"/>
      <c r="AJ238" s="142"/>
    </row>
    <row r="239" ht="13.5" customHeight="1">
      <c r="A239" s="142"/>
      <c r="B239" s="142"/>
      <c r="C239" s="142"/>
      <c r="D239" s="142"/>
      <c r="E239" s="142"/>
      <c r="F239" s="142"/>
      <c r="G239" s="143"/>
      <c r="H239" s="143"/>
      <c r="I239" s="144"/>
      <c r="J239" s="144"/>
      <c r="K239" s="145"/>
      <c r="L239" s="146"/>
      <c r="M239" s="147"/>
      <c r="N239" s="146"/>
      <c r="O239" s="144"/>
      <c r="P239" s="144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  <c r="AA239" s="142"/>
      <c r="AB239" s="142"/>
      <c r="AC239" s="142"/>
      <c r="AD239" s="142"/>
      <c r="AE239" s="142"/>
      <c r="AF239" s="142"/>
      <c r="AG239" s="142"/>
      <c r="AH239" s="142"/>
      <c r="AI239" s="142"/>
      <c r="AJ239" s="142"/>
    </row>
    <row r="240" ht="13.5" customHeight="1">
      <c r="A240" s="142"/>
      <c r="B240" s="142"/>
      <c r="C240" s="142"/>
      <c r="D240" s="142"/>
      <c r="E240" s="142"/>
      <c r="F240" s="142"/>
      <c r="G240" s="143"/>
      <c r="H240" s="143"/>
      <c r="I240" s="144"/>
      <c r="J240" s="144"/>
      <c r="K240" s="145"/>
      <c r="L240" s="146"/>
      <c r="M240" s="147"/>
      <c r="N240" s="146"/>
      <c r="O240" s="144"/>
      <c r="P240" s="144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  <c r="AA240" s="142"/>
      <c r="AB240" s="142"/>
      <c r="AC240" s="142"/>
      <c r="AD240" s="142"/>
      <c r="AE240" s="142"/>
      <c r="AF240" s="142"/>
      <c r="AG240" s="142"/>
      <c r="AH240" s="142"/>
      <c r="AI240" s="142"/>
      <c r="AJ240" s="142"/>
    </row>
    <row r="241" ht="13.5" customHeight="1">
      <c r="A241" s="142"/>
      <c r="B241" s="142"/>
      <c r="C241" s="142"/>
      <c r="D241" s="142"/>
      <c r="E241" s="142"/>
      <c r="F241" s="142"/>
      <c r="G241" s="143"/>
      <c r="H241" s="143"/>
      <c r="I241" s="144"/>
      <c r="J241" s="144"/>
      <c r="K241" s="145"/>
      <c r="L241" s="146"/>
      <c r="M241" s="147"/>
      <c r="N241" s="146"/>
      <c r="O241" s="144"/>
      <c r="P241" s="144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  <c r="AA241" s="142"/>
      <c r="AB241" s="142"/>
      <c r="AC241" s="142"/>
      <c r="AD241" s="142"/>
      <c r="AE241" s="142"/>
      <c r="AF241" s="142"/>
      <c r="AG241" s="142"/>
      <c r="AH241" s="142"/>
      <c r="AI241" s="142"/>
      <c r="AJ241" s="142"/>
    </row>
    <row r="242" ht="13.5" customHeight="1">
      <c r="A242" s="142"/>
      <c r="B242" s="142"/>
      <c r="C242" s="142"/>
      <c r="D242" s="142"/>
      <c r="E242" s="142"/>
      <c r="F242" s="142"/>
      <c r="G242" s="143"/>
      <c r="H242" s="143"/>
      <c r="I242" s="144"/>
      <c r="J242" s="144"/>
      <c r="K242" s="145"/>
      <c r="L242" s="146"/>
      <c r="M242" s="147"/>
      <c r="N242" s="146"/>
      <c r="O242" s="144"/>
      <c r="P242" s="144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142"/>
      <c r="AE242" s="142"/>
      <c r="AF242" s="142"/>
      <c r="AG242" s="142"/>
      <c r="AH242" s="142"/>
      <c r="AI242" s="142"/>
      <c r="AJ242" s="142"/>
    </row>
    <row r="243" ht="13.5" customHeight="1">
      <c r="A243" s="142"/>
      <c r="B243" s="142"/>
      <c r="C243" s="142"/>
      <c r="D243" s="142"/>
      <c r="E243" s="142"/>
      <c r="F243" s="142"/>
      <c r="G243" s="143"/>
      <c r="H243" s="143"/>
      <c r="I243" s="144"/>
      <c r="J243" s="144"/>
      <c r="K243" s="145"/>
      <c r="L243" s="146"/>
      <c r="M243" s="147"/>
      <c r="N243" s="146"/>
      <c r="O243" s="144"/>
      <c r="P243" s="144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  <c r="AA243" s="142"/>
      <c r="AB243" s="142"/>
      <c r="AC243" s="142"/>
      <c r="AD243" s="142"/>
      <c r="AE243" s="142"/>
      <c r="AF243" s="142"/>
      <c r="AG243" s="142"/>
      <c r="AH243" s="142"/>
      <c r="AI243" s="142"/>
      <c r="AJ243" s="142"/>
    </row>
    <row r="244" ht="13.5" customHeight="1">
      <c r="A244" s="142"/>
      <c r="B244" s="142"/>
      <c r="C244" s="142"/>
      <c r="D244" s="142"/>
      <c r="E244" s="142"/>
      <c r="F244" s="142"/>
      <c r="G244" s="143"/>
      <c r="H244" s="143"/>
      <c r="I244" s="144"/>
      <c r="J244" s="144"/>
      <c r="K244" s="145"/>
      <c r="L244" s="146"/>
      <c r="M244" s="147"/>
      <c r="N244" s="146"/>
      <c r="O244" s="144"/>
      <c r="P244" s="144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  <c r="AA244" s="142"/>
      <c r="AB244" s="142"/>
      <c r="AC244" s="142"/>
      <c r="AD244" s="142"/>
      <c r="AE244" s="142"/>
      <c r="AF244" s="142"/>
      <c r="AG244" s="142"/>
      <c r="AH244" s="142"/>
      <c r="AI244" s="142"/>
      <c r="AJ244" s="142"/>
    </row>
    <row r="245" ht="13.5" customHeight="1">
      <c r="A245" s="142"/>
      <c r="B245" s="142"/>
      <c r="C245" s="142"/>
      <c r="D245" s="142"/>
      <c r="E245" s="142"/>
      <c r="F245" s="142"/>
      <c r="G245" s="143"/>
      <c r="H245" s="143"/>
      <c r="I245" s="144"/>
      <c r="J245" s="144"/>
      <c r="K245" s="145"/>
      <c r="L245" s="146"/>
      <c r="M245" s="147"/>
      <c r="N245" s="146"/>
      <c r="O245" s="144"/>
      <c r="P245" s="144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  <c r="AA245" s="142"/>
      <c r="AB245" s="142"/>
      <c r="AC245" s="142"/>
      <c r="AD245" s="142"/>
      <c r="AE245" s="142"/>
      <c r="AF245" s="142"/>
      <c r="AG245" s="142"/>
      <c r="AH245" s="142"/>
      <c r="AI245" s="142"/>
      <c r="AJ245" s="142"/>
    </row>
    <row r="246" ht="13.5" customHeight="1">
      <c r="A246" s="142"/>
      <c r="B246" s="142"/>
      <c r="C246" s="142"/>
      <c r="D246" s="142"/>
      <c r="E246" s="142"/>
      <c r="F246" s="142"/>
      <c r="G246" s="143"/>
      <c r="H246" s="143"/>
      <c r="I246" s="144"/>
      <c r="J246" s="144"/>
      <c r="K246" s="145"/>
      <c r="L246" s="146"/>
      <c r="M246" s="147"/>
      <c r="N246" s="146"/>
      <c r="O246" s="144"/>
      <c r="P246" s="144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  <c r="AA246" s="142"/>
      <c r="AB246" s="142"/>
      <c r="AC246" s="142"/>
      <c r="AD246" s="142"/>
      <c r="AE246" s="142"/>
      <c r="AF246" s="142"/>
      <c r="AG246" s="142"/>
      <c r="AH246" s="142"/>
      <c r="AI246" s="142"/>
      <c r="AJ246" s="142"/>
    </row>
    <row r="247" ht="13.5" customHeight="1">
      <c r="A247" s="142"/>
      <c r="B247" s="142"/>
      <c r="C247" s="142"/>
      <c r="D247" s="142"/>
      <c r="E247" s="142"/>
      <c r="F247" s="142"/>
      <c r="G247" s="143"/>
      <c r="H247" s="143"/>
      <c r="I247" s="144"/>
      <c r="J247" s="144"/>
      <c r="K247" s="145"/>
      <c r="L247" s="146"/>
      <c r="M247" s="147"/>
      <c r="N247" s="146"/>
      <c r="O247" s="144"/>
      <c r="P247" s="144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  <c r="AA247" s="142"/>
      <c r="AB247" s="142"/>
      <c r="AC247" s="142"/>
      <c r="AD247" s="142"/>
      <c r="AE247" s="142"/>
      <c r="AF247" s="142"/>
      <c r="AG247" s="142"/>
      <c r="AH247" s="142"/>
      <c r="AI247" s="142"/>
      <c r="AJ247" s="142"/>
    </row>
    <row r="248" ht="13.5" customHeight="1">
      <c r="A248" s="142"/>
      <c r="B248" s="142"/>
      <c r="C248" s="142"/>
      <c r="D248" s="142"/>
      <c r="E248" s="142"/>
      <c r="F248" s="142"/>
      <c r="G248" s="143"/>
      <c r="H248" s="143"/>
      <c r="I248" s="144"/>
      <c r="J248" s="144"/>
      <c r="K248" s="145"/>
      <c r="L248" s="146"/>
      <c r="M248" s="147"/>
      <c r="N248" s="146"/>
      <c r="O248" s="144"/>
      <c r="P248" s="144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  <c r="AF248" s="142"/>
      <c r="AG248" s="142"/>
      <c r="AH248" s="142"/>
      <c r="AI248" s="142"/>
      <c r="AJ248" s="142"/>
    </row>
    <row r="249" ht="13.5" customHeight="1">
      <c r="A249" s="142"/>
      <c r="B249" s="142"/>
      <c r="C249" s="142"/>
      <c r="D249" s="142"/>
      <c r="E249" s="142"/>
      <c r="F249" s="142"/>
      <c r="G249" s="143"/>
      <c r="H249" s="143"/>
      <c r="I249" s="144"/>
      <c r="J249" s="144"/>
      <c r="K249" s="145"/>
      <c r="L249" s="146"/>
      <c r="M249" s="147"/>
      <c r="N249" s="146"/>
      <c r="O249" s="144"/>
      <c r="P249" s="144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42"/>
      <c r="AG249" s="142"/>
      <c r="AH249" s="142"/>
      <c r="AI249" s="142"/>
      <c r="AJ249" s="142"/>
    </row>
    <row r="250" ht="13.5" customHeight="1">
      <c r="A250" s="142"/>
      <c r="B250" s="142"/>
      <c r="C250" s="142"/>
      <c r="D250" s="142"/>
      <c r="E250" s="142"/>
      <c r="F250" s="142"/>
      <c r="G250" s="143"/>
      <c r="H250" s="143"/>
      <c r="I250" s="144"/>
      <c r="J250" s="144"/>
      <c r="K250" s="145"/>
      <c r="L250" s="146"/>
      <c r="M250" s="147"/>
      <c r="N250" s="146"/>
      <c r="O250" s="144"/>
      <c r="P250" s="144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  <c r="AA250" s="142"/>
      <c r="AB250" s="142"/>
      <c r="AC250" s="142"/>
      <c r="AD250" s="142"/>
      <c r="AE250" s="142"/>
      <c r="AF250" s="142"/>
      <c r="AG250" s="142"/>
      <c r="AH250" s="142"/>
      <c r="AI250" s="142"/>
      <c r="AJ250" s="142"/>
    </row>
    <row r="251" ht="13.5" customHeight="1">
      <c r="A251" s="142"/>
      <c r="B251" s="142"/>
      <c r="C251" s="142"/>
      <c r="D251" s="142"/>
      <c r="E251" s="142"/>
      <c r="F251" s="142"/>
      <c r="G251" s="143"/>
      <c r="H251" s="143"/>
      <c r="I251" s="144"/>
      <c r="J251" s="144"/>
      <c r="K251" s="145"/>
      <c r="L251" s="146"/>
      <c r="M251" s="147"/>
      <c r="N251" s="146"/>
      <c r="O251" s="144"/>
      <c r="P251" s="144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  <c r="AF251" s="142"/>
      <c r="AG251" s="142"/>
      <c r="AH251" s="142"/>
      <c r="AI251" s="142"/>
      <c r="AJ251" s="142"/>
    </row>
    <row r="252" ht="13.5" customHeight="1">
      <c r="A252" s="142"/>
      <c r="B252" s="142"/>
      <c r="C252" s="142"/>
      <c r="D252" s="142"/>
      <c r="E252" s="142"/>
      <c r="F252" s="142"/>
      <c r="G252" s="143"/>
      <c r="H252" s="143"/>
      <c r="I252" s="144"/>
      <c r="J252" s="144"/>
      <c r="K252" s="145"/>
      <c r="L252" s="146"/>
      <c r="M252" s="147"/>
      <c r="N252" s="146"/>
      <c r="O252" s="144"/>
      <c r="P252" s="144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  <c r="AA252" s="142"/>
      <c r="AB252" s="142"/>
      <c r="AC252" s="142"/>
      <c r="AD252" s="142"/>
      <c r="AE252" s="142"/>
      <c r="AF252" s="142"/>
      <c r="AG252" s="142"/>
      <c r="AH252" s="142"/>
      <c r="AI252" s="142"/>
      <c r="AJ252" s="142"/>
    </row>
    <row r="253" ht="13.5" customHeight="1">
      <c r="A253" s="142"/>
      <c r="B253" s="142"/>
      <c r="C253" s="142"/>
      <c r="D253" s="142"/>
      <c r="E253" s="142"/>
      <c r="F253" s="142"/>
      <c r="G253" s="143"/>
      <c r="H253" s="143"/>
      <c r="I253" s="144"/>
      <c r="J253" s="144"/>
      <c r="K253" s="145"/>
      <c r="L253" s="146"/>
      <c r="M253" s="147"/>
      <c r="N253" s="146"/>
      <c r="O253" s="144"/>
      <c r="P253" s="144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  <c r="AA253" s="142"/>
      <c r="AB253" s="142"/>
      <c r="AC253" s="142"/>
      <c r="AD253" s="142"/>
      <c r="AE253" s="142"/>
      <c r="AF253" s="142"/>
      <c r="AG253" s="142"/>
      <c r="AH253" s="142"/>
      <c r="AI253" s="142"/>
      <c r="AJ253" s="142"/>
    </row>
    <row r="254" ht="13.5" customHeight="1">
      <c r="A254" s="142"/>
      <c r="B254" s="142"/>
      <c r="C254" s="142"/>
      <c r="D254" s="142"/>
      <c r="E254" s="142"/>
      <c r="F254" s="142"/>
      <c r="G254" s="143"/>
      <c r="H254" s="143"/>
      <c r="I254" s="144"/>
      <c r="J254" s="144"/>
      <c r="K254" s="145"/>
      <c r="L254" s="146"/>
      <c r="M254" s="147"/>
      <c r="N254" s="146"/>
      <c r="O254" s="144"/>
      <c r="P254" s="144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  <c r="AA254" s="142"/>
      <c r="AB254" s="142"/>
      <c r="AC254" s="142"/>
      <c r="AD254" s="142"/>
      <c r="AE254" s="142"/>
      <c r="AF254" s="142"/>
      <c r="AG254" s="142"/>
      <c r="AH254" s="142"/>
      <c r="AI254" s="142"/>
      <c r="AJ254" s="142"/>
    </row>
    <row r="255" ht="13.5" customHeight="1">
      <c r="A255" s="142"/>
      <c r="B255" s="142"/>
      <c r="C255" s="142"/>
      <c r="D255" s="142"/>
      <c r="E255" s="142"/>
      <c r="F255" s="142"/>
      <c r="G255" s="143"/>
      <c r="H255" s="143"/>
      <c r="I255" s="144"/>
      <c r="J255" s="144"/>
      <c r="K255" s="145"/>
      <c r="L255" s="146"/>
      <c r="M255" s="147"/>
      <c r="N255" s="146"/>
      <c r="O255" s="144"/>
      <c r="P255" s="144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  <c r="AA255" s="142"/>
      <c r="AB255" s="142"/>
      <c r="AC255" s="142"/>
      <c r="AD255" s="142"/>
      <c r="AE255" s="142"/>
      <c r="AF255" s="142"/>
      <c r="AG255" s="142"/>
      <c r="AH255" s="142"/>
      <c r="AI255" s="142"/>
      <c r="AJ255" s="142"/>
    </row>
    <row r="256" ht="13.5" customHeight="1">
      <c r="A256" s="142"/>
      <c r="B256" s="142"/>
      <c r="C256" s="142"/>
      <c r="D256" s="142"/>
      <c r="E256" s="142"/>
      <c r="F256" s="142"/>
      <c r="G256" s="143"/>
      <c r="H256" s="143"/>
      <c r="I256" s="144"/>
      <c r="J256" s="144"/>
      <c r="K256" s="145"/>
      <c r="L256" s="146"/>
      <c r="M256" s="147"/>
      <c r="N256" s="146"/>
      <c r="O256" s="144"/>
      <c r="P256" s="144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  <c r="AA256" s="142"/>
      <c r="AB256" s="142"/>
      <c r="AC256" s="142"/>
      <c r="AD256" s="142"/>
      <c r="AE256" s="142"/>
      <c r="AF256" s="142"/>
      <c r="AG256" s="142"/>
      <c r="AH256" s="142"/>
      <c r="AI256" s="142"/>
      <c r="AJ256" s="142"/>
    </row>
    <row r="257" ht="13.5" customHeight="1">
      <c r="A257" s="142"/>
      <c r="B257" s="142"/>
      <c r="C257" s="142"/>
      <c r="D257" s="142"/>
      <c r="E257" s="142"/>
      <c r="F257" s="142"/>
      <c r="G257" s="143"/>
      <c r="H257" s="143"/>
      <c r="I257" s="144"/>
      <c r="J257" s="144"/>
      <c r="K257" s="145"/>
      <c r="L257" s="146"/>
      <c r="M257" s="147"/>
      <c r="N257" s="146"/>
      <c r="O257" s="144"/>
      <c r="P257" s="144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  <c r="AA257" s="142"/>
      <c r="AB257" s="142"/>
      <c r="AC257" s="142"/>
      <c r="AD257" s="142"/>
      <c r="AE257" s="142"/>
      <c r="AF257" s="142"/>
      <c r="AG257" s="142"/>
      <c r="AH257" s="142"/>
      <c r="AI257" s="142"/>
      <c r="AJ257" s="142"/>
    </row>
    <row r="258" ht="13.5" customHeight="1">
      <c r="A258" s="142"/>
      <c r="B258" s="142"/>
      <c r="C258" s="142"/>
      <c r="D258" s="142"/>
      <c r="E258" s="142"/>
      <c r="F258" s="142"/>
      <c r="G258" s="143"/>
      <c r="H258" s="143"/>
      <c r="I258" s="144"/>
      <c r="J258" s="144"/>
      <c r="K258" s="145"/>
      <c r="L258" s="146"/>
      <c r="M258" s="147"/>
      <c r="N258" s="146"/>
      <c r="O258" s="144"/>
      <c r="P258" s="144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2"/>
      <c r="AI258" s="142"/>
      <c r="AJ258" s="142"/>
    </row>
    <row r="259" ht="13.5" customHeight="1">
      <c r="A259" s="142"/>
      <c r="B259" s="142"/>
      <c r="C259" s="142"/>
      <c r="D259" s="142"/>
      <c r="E259" s="142"/>
      <c r="F259" s="142"/>
      <c r="G259" s="143"/>
      <c r="H259" s="143"/>
      <c r="I259" s="144"/>
      <c r="J259" s="144"/>
      <c r="K259" s="145"/>
      <c r="L259" s="146"/>
      <c r="M259" s="147"/>
      <c r="N259" s="146"/>
      <c r="O259" s="144"/>
      <c r="P259" s="144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  <c r="AA259" s="142"/>
      <c r="AB259" s="142"/>
      <c r="AC259" s="142"/>
      <c r="AD259" s="142"/>
      <c r="AE259" s="142"/>
      <c r="AF259" s="142"/>
      <c r="AG259" s="142"/>
      <c r="AH259" s="142"/>
      <c r="AI259" s="142"/>
      <c r="AJ259" s="142"/>
    </row>
    <row r="260" ht="13.5" customHeight="1">
      <c r="A260" s="142"/>
      <c r="B260" s="142"/>
      <c r="C260" s="142"/>
      <c r="D260" s="142"/>
      <c r="E260" s="142"/>
      <c r="F260" s="142"/>
      <c r="G260" s="143"/>
      <c r="H260" s="143"/>
      <c r="I260" s="144"/>
      <c r="J260" s="144"/>
      <c r="K260" s="145"/>
      <c r="L260" s="146"/>
      <c r="M260" s="147"/>
      <c r="N260" s="146"/>
      <c r="O260" s="144"/>
      <c r="P260" s="144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  <c r="AA260" s="142"/>
      <c r="AB260" s="142"/>
      <c r="AC260" s="142"/>
      <c r="AD260" s="142"/>
      <c r="AE260" s="142"/>
      <c r="AF260" s="142"/>
      <c r="AG260" s="142"/>
      <c r="AH260" s="142"/>
      <c r="AI260" s="142"/>
      <c r="AJ260" s="142"/>
    </row>
    <row r="261" ht="13.5" customHeight="1">
      <c r="A261" s="142"/>
      <c r="B261" s="142"/>
      <c r="C261" s="142"/>
      <c r="D261" s="142"/>
      <c r="E261" s="142"/>
      <c r="F261" s="142"/>
      <c r="G261" s="143"/>
      <c r="H261" s="143"/>
      <c r="I261" s="144"/>
      <c r="J261" s="144"/>
      <c r="K261" s="145"/>
      <c r="L261" s="146"/>
      <c r="M261" s="147"/>
      <c r="N261" s="146"/>
      <c r="O261" s="144"/>
      <c r="P261" s="144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  <c r="AI261" s="142"/>
      <c r="AJ261" s="142"/>
    </row>
    <row r="262" ht="13.5" customHeight="1">
      <c r="A262" s="142"/>
      <c r="B262" s="142"/>
      <c r="C262" s="142"/>
      <c r="D262" s="142"/>
      <c r="E262" s="142"/>
      <c r="F262" s="142"/>
      <c r="G262" s="143"/>
      <c r="H262" s="143"/>
      <c r="I262" s="144"/>
      <c r="J262" s="144"/>
      <c r="K262" s="145"/>
      <c r="L262" s="146"/>
      <c r="M262" s="147"/>
      <c r="N262" s="146"/>
      <c r="O262" s="144"/>
      <c r="P262" s="144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  <c r="AA262" s="142"/>
      <c r="AB262" s="142"/>
      <c r="AC262" s="142"/>
      <c r="AD262" s="142"/>
      <c r="AE262" s="142"/>
      <c r="AF262" s="142"/>
      <c r="AG262" s="142"/>
      <c r="AH262" s="142"/>
      <c r="AI262" s="142"/>
      <c r="AJ262" s="142"/>
    </row>
    <row r="263" ht="13.5" customHeight="1">
      <c r="A263" s="142"/>
      <c r="B263" s="142"/>
      <c r="C263" s="142"/>
      <c r="D263" s="142"/>
      <c r="E263" s="142"/>
      <c r="F263" s="142"/>
      <c r="G263" s="143"/>
      <c r="H263" s="143"/>
      <c r="I263" s="144"/>
      <c r="J263" s="144"/>
      <c r="K263" s="145"/>
      <c r="L263" s="146"/>
      <c r="M263" s="147"/>
      <c r="N263" s="146"/>
      <c r="O263" s="144"/>
      <c r="P263" s="144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2"/>
      <c r="AF263" s="142"/>
      <c r="AG263" s="142"/>
      <c r="AH263" s="142"/>
      <c r="AI263" s="142"/>
      <c r="AJ263" s="142"/>
    </row>
    <row r="264" ht="13.5" customHeight="1">
      <c r="A264" s="142"/>
      <c r="B264" s="142"/>
      <c r="C264" s="142"/>
      <c r="D264" s="142"/>
      <c r="E264" s="142"/>
      <c r="F264" s="142"/>
      <c r="G264" s="143"/>
      <c r="H264" s="143"/>
      <c r="I264" s="144"/>
      <c r="J264" s="144"/>
      <c r="K264" s="145"/>
      <c r="L264" s="146"/>
      <c r="M264" s="147"/>
      <c r="N264" s="146"/>
      <c r="O264" s="144"/>
      <c r="P264" s="144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  <c r="AA264" s="142"/>
      <c r="AB264" s="142"/>
      <c r="AC264" s="142"/>
      <c r="AD264" s="142"/>
      <c r="AE264" s="142"/>
      <c r="AF264" s="142"/>
      <c r="AG264" s="142"/>
      <c r="AH264" s="142"/>
      <c r="AI264" s="142"/>
      <c r="AJ264" s="142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4:C5"/>
    <mergeCell ref="D4:E4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I2:J2"/>
    <mergeCell ref="K2:L2"/>
    <mergeCell ref="M2:N2"/>
    <mergeCell ref="O2:P2"/>
    <mergeCell ref="I3:L3"/>
    <mergeCell ref="M3:P3"/>
    <mergeCell ref="B4:B5"/>
    <mergeCell ref="P4:P5"/>
  </mergeCells>
  <dataValidations>
    <dataValidation type="list" allowBlank="1" showErrorMessage="1" sqref="M8 M13">
      <formula1>"미착수,착수,수행,PL확인,PM확인,완료"</formula1>
    </dataValidation>
    <dataValidation type="list" allowBlank="1" showErrorMessage="1" sqref="M9:M12 M14:M16 M19:M20 M22:M29 M31:M49 M51:M52 M54:M55 M57:M58 M60:M61 M63:M73 M75:M81 M83:M84 M86:M93 M95:M99">
      <formula1>"미착수,착수,수행1단계,수행2단계,테스트,PL확인,PM확인,완료"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5.14"/>
    <col customWidth="1" min="3" max="3" width="8.71"/>
    <col customWidth="1" min="4" max="4" width="16.0"/>
    <col customWidth="1" min="5" max="5" width="49.86"/>
    <col customWidth="1" min="6" max="6" width="38.86"/>
    <col customWidth="1" min="7" max="7" width="13.57"/>
    <col customWidth="1" min="8" max="8" width="7.86"/>
    <col customWidth="1" min="9" max="10" width="12.57"/>
    <col customWidth="1" min="11" max="11" width="8.57"/>
    <col customWidth="1" min="12" max="12" width="9.14"/>
    <col customWidth="1" min="13" max="13" width="11.57"/>
    <col customWidth="1" min="14" max="14" width="9.0"/>
    <col customWidth="1" min="15" max="16" width="11.29"/>
    <col customWidth="1" min="17" max="36" width="9.0"/>
  </cols>
  <sheetData>
    <row r="1" ht="13.5" customHeight="1">
      <c r="A1" s="142"/>
      <c r="B1" s="142"/>
      <c r="C1" s="142"/>
      <c r="D1" s="142"/>
      <c r="E1" s="142"/>
      <c r="F1" s="142"/>
      <c r="G1" s="143"/>
      <c r="H1" s="143"/>
      <c r="I1" s="144"/>
      <c r="J1" s="144"/>
      <c r="K1" s="145"/>
      <c r="L1" s="146"/>
      <c r="M1" s="147"/>
      <c r="N1" s="146"/>
      <c r="O1" s="144"/>
      <c r="P1" s="144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</row>
    <row r="2" ht="15.0" customHeight="1">
      <c r="A2" s="148"/>
      <c r="B2" s="149" t="s">
        <v>414</v>
      </c>
      <c r="C2" s="148"/>
      <c r="D2" s="148"/>
      <c r="E2" s="148"/>
      <c r="F2" s="148"/>
      <c r="G2" s="150"/>
      <c r="H2" s="150"/>
      <c r="I2" s="151" t="s">
        <v>136</v>
      </c>
      <c r="J2" s="79"/>
      <c r="K2" s="152">
        <f>(SUM(L8:L23)/(COUNT(L8:L23)))</f>
        <v>0.375</v>
      </c>
      <c r="L2" s="79"/>
      <c r="M2" s="153" t="s">
        <v>137</v>
      </c>
      <c r="N2" s="79"/>
      <c r="O2" s="152">
        <f>(SUM(N8:N23)/(COUNT(N8:N23)))</f>
        <v>0.3791666667</v>
      </c>
      <c r="P2" s="79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</row>
    <row r="3" ht="15.0" customHeight="1">
      <c r="A3" s="148"/>
      <c r="B3" s="150"/>
      <c r="C3" s="39"/>
      <c r="D3" s="39"/>
      <c r="E3" s="39"/>
      <c r="F3" s="148"/>
      <c r="G3" s="150"/>
      <c r="H3" s="150"/>
      <c r="I3" s="245" t="s">
        <v>138</v>
      </c>
      <c r="J3" s="70"/>
      <c r="K3" s="70"/>
      <c r="L3" s="71"/>
      <c r="M3" s="246" t="s">
        <v>139</v>
      </c>
      <c r="N3" s="70"/>
      <c r="O3" s="70"/>
      <c r="P3" s="104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</row>
    <row r="4" ht="20.25" customHeight="1">
      <c r="A4" s="160"/>
      <c r="B4" s="161" t="s">
        <v>117</v>
      </c>
      <c r="C4" s="162" t="s">
        <v>140</v>
      </c>
      <c r="D4" s="163" t="s">
        <v>293</v>
      </c>
      <c r="E4" s="79"/>
      <c r="F4" s="162" t="s">
        <v>142</v>
      </c>
      <c r="G4" s="162" t="s">
        <v>143</v>
      </c>
      <c r="H4" s="162" t="s">
        <v>118</v>
      </c>
      <c r="I4" s="247" t="s">
        <v>144</v>
      </c>
      <c r="J4" s="165" t="s">
        <v>145</v>
      </c>
      <c r="K4" s="165" t="s">
        <v>146</v>
      </c>
      <c r="L4" s="166" t="s">
        <v>149</v>
      </c>
      <c r="M4" s="167" t="s">
        <v>148</v>
      </c>
      <c r="N4" s="167" t="s">
        <v>123</v>
      </c>
      <c r="O4" s="167" t="s">
        <v>150</v>
      </c>
      <c r="P4" s="168" t="s">
        <v>151</v>
      </c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0"/>
    </row>
    <row r="5" ht="20.25" customHeight="1">
      <c r="A5" s="160"/>
      <c r="B5" s="169"/>
      <c r="C5" s="28"/>
      <c r="D5" s="170" t="s">
        <v>152</v>
      </c>
      <c r="E5" s="170" t="s">
        <v>153</v>
      </c>
      <c r="F5" s="28"/>
      <c r="G5" s="28"/>
      <c r="H5" s="28"/>
      <c r="I5" s="248"/>
      <c r="J5" s="28"/>
      <c r="K5" s="28"/>
      <c r="L5" s="28"/>
      <c r="M5" s="28"/>
      <c r="N5" s="28"/>
      <c r="O5" s="28"/>
      <c r="P5" s="171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</row>
    <row r="6" ht="13.5" customHeight="1">
      <c r="A6" s="172"/>
      <c r="B6" s="173" t="s">
        <v>415</v>
      </c>
      <c r="C6" s="174"/>
      <c r="D6" s="174"/>
      <c r="E6" s="174"/>
      <c r="F6" s="174"/>
      <c r="G6" s="175"/>
      <c r="H6" s="249">
        <f>'진척율보고서'!H14</f>
        <v>20</v>
      </c>
      <c r="I6" s="250"/>
      <c r="J6" s="178"/>
      <c r="K6" s="179" t="str">
        <f t="shared" ref="K6:K7" si="1">IF(OR(ISBLANK($I6), ISBLANK($J6)),"",NETWORKDAYS($I6,$J6))</f>
        <v/>
      </c>
      <c r="L6" s="180">
        <f>K2*H6/100</f>
        <v>0.075</v>
      </c>
      <c r="M6" s="181"/>
      <c r="N6" s="182">
        <f>O2*H6/100</f>
        <v>0.07583333333</v>
      </c>
      <c r="O6" s="178"/>
      <c r="P6" s="183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</row>
    <row r="7" ht="13.5" customHeight="1">
      <c r="A7" s="142"/>
      <c r="B7" s="184"/>
      <c r="C7" s="185" t="s">
        <v>133</v>
      </c>
      <c r="D7" s="186"/>
      <c r="E7" s="186"/>
      <c r="F7" s="186"/>
      <c r="G7" s="187"/>
      <c r="H7" s="221"/>
      <c r="I7" s="222">
        <f>MIN(I8:I23)</f>
        <v>46076</v>
      </c>
      <c r="J7" s="189">
        <f>MAX(J8:J23)</f>
        <v>46204</v>
      </c>
      <c r="K7" s="190">
        <f t="shared" si="1"/>
        <v>93</v>
      </c>
      <c r="L7" s="191">
        <f>SUM(L8:L23)/COUNT(L8:L23)</f>
        <v>0.375</v>
      </c>
      <c r="M7" s="192"/>
      <c r="N7" s="193">
        <f>SUM(N8:N23)/COUNT(N8:N23)</f>
        <v>0.3791666667</v>
      </c>
      <c r="O7" s="189"/>
      <c r="P7" s="194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</row>
    <row r="8" ht="13.5" customHeight="1">
      <c r="A8" s="142"/>
      <c r="B8" s="184"/>
      <c r="C8" s="196"/>
      <c r="D8" s="197" t="s">
        <v>416</v>
      </c>
      <c r="E8" s="197"/>
      <c r="F8" s="197"/>
      <c r="G8" s="198"/>
      <c r="H8" s="223"/>
      <c r="I8" s="224"/>
      <c r="J8" s="200"/>
      <c r="K8" s="201"/>
      <c r="L8" s="202"/>
      <c r="M8" s="203"/>
      <c r="N8" s="204"/>
      <c r="O8" s="224"/>
      <c r="P8" s="205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</row>
    <row r="9" ht="13.5" customHeight="1">
      <c r="A9" s="142"/>
      <c r="B9" s="184"/>
      <c r="C9" s="196"/>
      <c r="D9" s="196"/>
      <c r="E9" s="196" t="s">
        <v>417</v>
      </c>
      <c r="F9" s="196" t="s">
        <v>418</v>
      </c>
      <c r="G9" s="267"/>
      <c r="H9" s="251"/>
      <c r="I9" s="219">
        <v>46076.0</v>
      </c>
      <c r="J9" s="210">
        <v>46080.0</v>
      </c>
      <c r="K9" s="211">
        <f t="shared" ref="K9:K10" si="2">IF(OR(ISBLANK($I9), ISBLANK($J9)),"",NETWORKDAYS($I9,$J9))</f>
        <v>5</v>
      </c>
      <c r="L9" s="212">
        <f>IF(OR(ISBLANK($I9), ISBLANK($J9)), "", IF('진척율보고서'!$M$4 &lt; $I9, 0, IF('진척율보고서'!$M$4 &gt;= $J9, 1, NETWORKDAYS($I9,'진척율보고서'!$M$4)/$K9)))</f>
        <v>1</v>
      </c>
      <c r="M9" s="213" t="s">
        <v>158</v>
      </c>
      <c r="N9" s="214">
        <f t="shared" ref="N9:N10" si="3">IF($M9="완료",1,IF($M9="PM확인",0.95,IF($M9="PL확인",0.8,IF($M9="테스트",0.7,IF($M9="수행2단계",0.55,IF($M9="수행1단계",0.35,IF($M9="착수",0.2,IF($M9="미착수",0,""))))))))</f>
        <v>1</v>
      </c>
      <c r="O9" s="210"/>
      <c r="P9" s="216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</row>
    <row r="10" ht="13.5" customHeight="1">
      <c r="A10" s="142"/>
      <c r="B10" s="184"/>
      <c r="C10" s="196"/>
      <c r="D10" s="196"/>
      <c r="E10" s="196" t="s">
        <v>419</v>
      </c>
      <c r="F10" s="196" t="s">
        <v>418</v>
      </c>
      <c r="G10" s="267"/>
      <c r="H10" s="251"/>
      <c r="I10" s="219">
        <v>46076.0</v>
      </c>
      <c r="J10" s="210">
        <v>46080.0</v>
      </c>
      <c r="K10" s="211">
        <f t="shared" si="2"/>
        <v>5</v>
      </c>
      <c r="L10" s="212">
        <f>IF(OR(ISBLANK($I10), ISBLANK($J10)), "", IF('진척율보고서'!$M$4 &lt; $I10, 0, IF('진척율보고서'!$M$4 &gt;= $J10, 1, NETWORKDAYS($I10,'진척율보고서'!$M$4)/$K10)))</f>
        <v>1</v>
      </c>
      <c r="M10" s="213" t="s">
        <v>158</v>
      </c>
      <c r="N10" s="214">
        <f t="shared" si="3"/>
        <v>1</v>
      </c>
      <c r="O10" s="210"/>
      <c r="P10" s="216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ht="13.5" customHeight="1">
      <c r="A11" s="142"/>
      <c r="B11" s="184"/>
      <c r="C11" s="196"/>
      <c r="D11" s="197" t="s">
        <v>420</v>
      </c>
      <c r="E11" s="197"/>
      <c r="F11" s="197"/>
      <c r="G11" s="198"/>
      <c r="H11" s="223"/>
      <c r="I11" s="224"/>
      <c r="J11" s="200"/>
      <c r="K11" s="201"/>
      <c r="L11" s="202"/>
      <c r="M11" s="203"/>
      <c r="N11" s="204"/>
      <c r="O11" s="200"/>
      <c r="P11" s="205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</row>
    <row r="12" ht="14.25" customHeight="1">
      <c r="A12" s="142"/>
      <c r="B12" s="184"/>
      <c r="C12" s="196"/>
      <c r="D12" s="196"/>
      <c r="E12" s="196" t="s">
        <v>421</v>
      </c>
      <c r="F12" s="196" t="s">
        <v>422</v>
      </c>
      <c r="G12" s="217" t="s">
        <v>232</v>
      </c>
      <c r="H12" s="225"/>
      <c r="I12" s="219">
        <v>46084.0</v>
      </c>
      <c r="J12" s="210">
        <v>46094.0</v>
      </c>
      <c r="K12" s="211">
        <f t="shared" ref="K12:K16" si="4">IF(OR(ISBLANK($I12), ISBLANK($J12)),"",NETWORKDAYS($I12,$J12))</f>
        <v>9</v>
      </c>
      <c r="L12" s="212">
        <f>IF(OR(ISBLANK($I12), ISBLANK($J12)), "", IF('진척율보고서'!$M$4 &lt; $I12, 0, IF('진척율보고서'!$M$4 &gt;= $J12, 1, NETWORKDAYS($I12,'진척율보고서'!$M$4)/$K12)))</f>
        <v>1</v>
      </c>
      <c r="M12" s="213" t="s">
        <v>158</v>
      </c>
      <c r="N12" s="214">
        <f t="shared" ref="N12:N16" si="5">IF($M12="완료",1,IF($M12="PM확인",0.95,IF($M12="PL확인",0.8,IF($M12="테스트",0.7,IF($M12="수행2단계",0.55,IF($M12="수행1단계",0.35,IF($M12="착수",0.2,IF($M12="미착수",0,""))))))))</f>
        <v>1</v>
      </c>
      <c r="O12" s="210"/>
      <c r="P12" s="216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</row>
    <row r="13" ht="14.25" customHeight="1">
      <c r="A13" s="142"/>
      <c r="B13" s="184"/>
      <c r="C13" s="196"/>
      <c r="D13" s="196"/>
      <c r="E13" s="196" t="s">
        <v>423</v>
      </c>
      <c r="F13" s="196" t="s">
        <v>422</v>
      </c>
      <c r="G13" s="217" t="s">
        <v>232</v>
      </c>
      <c r="H13" s="225"/>
      <c r="I13" s="219">
        <v>46097.0</v>
      </c>
      <c r="J13" s="219">
        <v>46101.0</v>
      </c>
      <c r="K13" s="211">
        <f t="shared" si="4"/>
        <v>5</v>
      </c>
      <c r="L13" s="212">
        <f>IF(OR(ISBLANK($I13), ISBLANK($J13)), "", IF('진척율보고서'!$M$4 &lt; $I13, 0, IF('진척율보고서'!$M$4 &gt;= $J13, 1, NETWORKDAYS($I13,'진척율보고서'!$M$4)/$K13)))</f>
        <v>1</v>
      </c>
      <c r="M13" s="213" t="s">
        <v>158</v>
      </c>
      <c r="N13" s="214">
        <f t="shared" si="5"/>
        <v>1</v>
      </c>
      <c r="O13" s="210"/>
      <c r="P13" s="216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</row>
    <row r="14" ht="13.5" customHeight="1">
      <c r="A14" s="142"/>
      <c r="B14" s="184"/>
      <c r="C14" s="196"/>
      <c r="D14" s="196"/>
      <c r="E14" s="196" t="s">
        <v>424</v>
      </c>
      <c r="F14" s="196" t="s">
        <v>422</v>
      </c>
      <c r="G14" s="217" t="s">
        <v>232</v>
      </c>
      <c r="H14" s="251"/>
      <c r="I14" s="219">
        <v>46104.0</v>
      </c>
      <c r="J14" s="210">
        <v>46115.0</v>
      </c>
      <c r="K14" s="211">
        <f t="shared" si="4"/>
        <v>10</v>
      </c>
      <c r="L14" s="212">
        <f>IF(OR(ISBLANK($I14), ISBLANK($J14)), "", IF('진척율보고서'!$M$4 &lt; $I14, 0, IF('진척율보고서'!$M$4 &gt;= $J14, 1, NETWORKDAYS($I14,'진척율보고서'!$M$4)/$K14)))</f>
        <v>0.5</v>
      </c>
      <c r="M14" s="213" t="s">
        <v>331</v>
      </c>
      <c r="N14" s="214">
        <f t="shared" si="5"/>
        <v>0.55</v>
      </c>
      <c r="O14" s="210"/>
      <c r="P14" s="216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</row>
    <row r="15" ht="13.5" customHeight="1">
      <c r="A15" s="142"/>
      <c r="B15" s="184"/>
      <c r="C15" s="196"/>
      <c r="D15" s="196"/>
      <c r="E15" s="196" t="s">
        <v>425</v>
      </c>
      <c r="F15" s="196" t="s">
        <v>422</v>
      </c>
      <c r="G15" s="217" t="s">
        <v>232</v>
      </c>
      <c r="H15" s="251"/>
      <c r="I15" s="210">
        <v>46118.0</v>
      </c>
      <c r="J15" s="210">
        <v>46129.0</v>
      </c>
      <c r="K15" s="211">
        <f t="shared" si="4"/>
        <v>10</v>
      </c>
      <c r="L15" s="212">
        <f>IF(OR(ISBLANK($I15), ISBLANK($J15)), "", IF('진척율보고서'!$M$4 &lt; $I15, 0, IF('진척율보고서'!$M$4 &gt;= $J15, 1, NETWORKDAYS($I15,'진척율보고서'!$M$4)/$K15)))</f>
        <v>0</v>
      </c>
      <c r="M15" s="213" t="s">
        <v>163</v>
      </c>
      <c r="N15" s="214">
        <f t="shared" si="5"/>
        <v>0</v>
      </c>
      <c r="O15" s="210"/>
      <c r="P15" s="216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</row>
    <row r="16" ht="13.5" customHeight="1">
      <c r="A16" s="142"/>
      <c r="B16" s="184"/>
      <c r="C16" s="196"/>
      <c r="D16" s="196"/>
      <c r="E16" s="196" t="s">
        <v>426</v>
      </c>
      <c r="F16" s="196" t="s">
        <v>422</v>
      </c>
      <c r="G16" s="217" t="s">
        <v>232</v>
      </c>
      <c r="H16" s="251"/>
      <c r="I16" s="210">
        <v>46132.0</v>
      </c>
      <c r="J16" s="210">
        <v>46136.0</v>
      </c>
      <c r="K16" s="211">
        <f t="shared" si="4"/>
        <v>5</v>
      </c>
      <c r="L16" s="212">
        <f>IF(OR(ISBLANK($I16), ISBLANK($J16)), "", IF('진척율보고서'!$M$4 &lt; $I16, 0, IF('진척율보고서'!$M$4 &gt;= $J16, 1, NETWORKDAYS($I16,'진척율보고서'!$M$4)/$K16)))</f>
        <v>0</v>
      </c>
      <c r="M16" s="213" t="s">
        <v>163</v>
      </c>
      <c r="N16" s="214">
        <f t="shared" si="5"/>
        <v>0</v>
      </c>
      <c r="O16" s="210"/>
      <c r="P16" s="216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</row>
    <row r="17" ht="13.5" customHeight="1">
      <c r="A17" s="230"/>
      <c r="B17" s="231"/>
      <c r="C17" s="196"/>
      <c r="D17" s="197" t="s">
        <v>427</v>
      </c>
      <c r="E17" s="197"/>
      <c r="F17" s="197"/>
      <c r="G17" s="197"/>
      <c r="H17" s="223"/>
      <c r="I17" s="224"/>
      <c r="J17" s="200"/>
      <c r="K17" s="201"/>
      <c r="L17" s="202"/>
      <c r="M17" s="203"/>
      <c r="N17" s="204"/>
      <c r="O17" s="200"/>
      <c r="P17" s="205"/>
      <c r="Q17" s="230"/>
      <c r="R17" s="230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</row>
    <row r="18" ht="14.25" customHeight="1">
      <c r="A18" s="142"/>
      <c r="B18" s="184"/>
      <c r="C18" s="196"/>
      <c r="D18" s="196"/>
      <c r="E18" s="196" t="s">
        <v>427</v>
      </c>
      <c r="F18" s="196"/>
      <c r="G18" s="267"/>
      <c r="H18" s="251"/>
      <c r="I18" s="219">
        <v>46143.0</v>
      </c>
      <c r="J18" s="219">
        <v>46171.0</v>
      </c>
      <c r="K18" s="211">
        <f t="shared" ref="K18:K20" si="6">IF(OR(ISBLANK($I18), ISBLANK($J18)),"",NETWORKDAYS($I18,$J18))</f>
        <v>21</v>
      </c>
      <c r="L18" s="212">
        <f>IF(OR(ISBLANK($I18), ISBLANK($J18)), "", IF('진척율보고서'!$M$4 &lt; $I18, 0, IF('진척율보고서'!$M$4 &gt;= $J18, 1, NETWORKDAYS($I18,'진척율보고서'!$M$4)/$K18)))</f>
        <v>0</v>
      </c>
      <c r="M18" s="213" t="s">
        <v>163</v>
      </c>
      <c r="N18" s="214">
        <f t="shared" ref="N18:N20" si="7">IF($M18="완료",1,IF($M18="PM확인",0.95,IF($M18="PL확인",0.8,IF($M18="테스트",0.7,IF($M18="수행2단계",0.55,IF($M18="수행1단계",0.35,IF($M18="착수",0.2,IF($M18="미착수",0,""))))))))</f>
        <v>0</v>
      </c>
      <c r="O18" s="210"/>
      <c r="P18" s="216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</row>
    <row r="19" ht="14.25" customHeight="1">
      <c r="A19" s="142"/>
      <c r="B19" s="184"/>
      <c r="C19" s="196"/>
      <c r="D19" s="196"/>
      <c r="E19" s="196" t="s">
        <v>428</v>
      </c>
      <c r="F19" s="196"/>
      <c r="G19" s="267"/>
      <c r="H19" s="251"/>
      <c r="I19" s="219">
        <v>46174.0</v>
      </c>
      <c r="J19" s="219">
        <v>46178.0</v>
      </c>
      <c r="K19" s="211">
        <f t="shared" si="6"/>
        <v>5</v>
      </c>
      <c r="L19" s="212">
        <f>IF(OR(ISBLANK($I19), ISBLANK($J19)), "", IF('진척율보고서'!$M$4 &lt; $I19, 0, IF('진척율보고서'!$M$4 &gt;= $J19, 1, NETWORKDAYS($I19,'진척율보고서'!$M$4)/$K19)))</f>
        <v>0</v>
      </c>
      <c r="M19" s="213" t="s">
        <v>163</v>
      </c>
      <c r="N19" s="214">
        <f t="shared" si="7"/>
        <v>0</v>
      </c>
      <c r="O19" s="210"/>
      <c r="P19" s="216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</row>
    <row r="20" ht="14.25" customHeight="1">
      <c r="A20" s="142"/>
      <c r="B20" s="184"/>
      <c r="C20" s="196"/>
      <c r="D20" s="196"/>
      <c r="E20" s="196" t="s">
        <v>429</v>
      </c>
      <c r="F20" s="196"/>
      <c r="G20" s="267"/>
      <c r="H20" s="251"/>
      <c r="I20" s="219">
        <v>46181.0</v>
      </c>
      <c r="J20" s="219">
        <v>46185.0</v>
      </c>
      <c r="K20" s="211">
        <f t="shared" si="6"/>
        <v>5</v>
      </c>
      <c r="L20" s="212">
        <f>IF(OR(ISBLANK($I20), ISBLANK($J20)), "", IF('진척율보고서'!$M$4 &lt; $I20, 0, IF('진척율보고서'!$M$4 &gt;= $J20, 1, NETWORKDAYS($I20,'진척율보고서'!$M$4)/$K20)))</f>
        <v>0</v>
      </c>
      <c r="M20" s="213" t="s">
        <v>163</v>
      </c>
      <c r="N20" s="214">
        <f t="shared" si="7"/>
        <v>0</v>
      </c>
      <c r="O20" s="210"/>
      <c r="P20" s="216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</row>
    <row r="21" ht="13.5" customHeight="1">
      <c r="A21" s="230"/>
      <c r="B21" s="231"/>
      <c r="C21" s="196"/>
      <c r="D21" s="197" t="s">
        <v>430</v>
      </c>
      <c r="E21" s="197"/>
      <c r="F21" s="197"/>
      <c r="G21" s="197"/>
      <c r="H21" s="223"/>
      <c r="I21" s="224"/>
      <c r="J21" s="200"/>
      <c r="K21" s="201"/>
      <c r="L21" s="202"/>
      <c r="M21" s="203"/>
      <c r="N21" s="204"/>
      <c r="O21" s="200"/>
      <c r="P21" s="205"/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</row>
    <row r="22" ht="14.25" customHeight="1">
      <c r="A22" s="142"/>
      <c r="B22" s="184"/>
      <c r="C22" s="196"/>
      <c r="D22" s="196"/>
      <c r="E22" s="196" t="s">
        <v>431</v>
      </c>
      <c r="F22" s="196" t="s">
        <v>432</v>
      </c>
      <c r="G22" s="217" t="s">
        <v>232</v>
      </c>
      <c r="H22" s="251"/>
      <c r="I22" s="219">
        <v>46188.0</v>
      </c>
      <c r="J22" s="219">
        <v>46192.0</v>
      </c>
      <c r="K22" s="211">
        <f t="shared" ref="K22:K23" si="8">IF(OR(ISBLANK($I22), ISBLANK($J22)),"",NETWORKDAYS($I22,$J22))</f>
        <v>5</v>
      </c>
      <c r="L22" s="212">
        <f>IF(OR(ISBLANK($I22), ISBLANK($J22)), "", IF('진척율보고서'!$M$4 &lt; $I22, 0, IF('진척율보고서'!$M$4 &gt;= $J22, 1, NETWORKDAYS($I22,'진척율보고서'!$M$4)/$K22)))</f>
        <v>0</v>
      </c>
      <c r="M22" s="213" t="s">
        <v>163</v>
      </c>
      <c r="N22" s="214">
        <f t="shared" ref="N22:N23" si="9">IF($M22="완료",1,IF($M22="PM확인",0.95,IF($M22="PL확인",0.8,IF($M22="테스트",0.7,IF($M22="수행2단계",0.55,IF($M22="수행1단계",0.35,IF($M22="착수",0.2,IF($M22="미착수",0,""))))))))</f>
        <v>0</v>
      </c>
      <c r="O22" s="210"/>
      <c r="P22" s="216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</row>
    <row r="23" ht="14.25" customHeight="1">
      <c r="A23" s="142"/>
      <c r="B23" s="184"/>
      <c r="C23" s="196"/>
      <c r="D23" s="196"/>
      <c r="E23" s="196" t="s">
        <v>433</v>
      </c>
      <c r="F23" s="196" t="s">
        <v>434</v>
      </c>
      <c r="G23" s="267"/>
      <c r="H23" s="251"/>
      <c r="I23" s="219">
        <v>46204.0</v>
      </c>
      <c r="J23" s="219">
        <v>46204.0</v>
      </c>
      <c r="K23" s="211">
        <f t="shared" si="8"/>
        <v>1</v>
      </c>
      <c r="L23" s="212">
        <f>IF(OR(ISBLANK($I23), ISBLANK($J23)), "", IF('진척율보고서'!$M$4 &lt; $I23, 0, IF('진척율보고서'!$M$4 &gt;= $J23, 1, NETWORKDAYS($I23,'진척율보고서'!$M$4)/$K23)))</f>
        <v>0</v>
      </c>
      <c r="M23" s="213" t="s">
        <v>163</v>
      </c>
      <c r="N23" s="214">
        <f t="shared" si="9"/>
        <v>0</v>
      </c>
      <c r="O23" s="210"/>
      <c r="P23" s="216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</row>
    <row r="24" ht="13.5" customHeight="1">
      <c r="A24" s="233"/>
      <c r="B24" s="234"/>
      <c r="C24" s="235"/>
      <c r="D24" s="235"/>
      <c r="E24" s="235"/>
      <c r="F24" s="235"/>
      <c r="G24" s="236"/>
      <c r="H24" s="265"/>
      <c r="I24" s="266"/>
      <c r="J24" s="238"/>
      <c r="K24" s="239"/>
      <c r="L24" s="240"/>
      <c r="M24" s="241"/>
      <c r="N24" s="242"/>
      <c r="O24" s="243"/>
      <c r="P24" s="244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</row>
    <row r="25" ht="13.5" customHeight="1">
      <c r="A25" s="142"/>
      <c r="B25" s="142"/>
      <c r="C25" s="142"/>
      <c r="D25" s="142"/>
      <c r="E25" s="142"/>
      <c r="F25" s="142"/>
      <c r="G25" s="143"/>
      <c r="H25" s="143"/>
      <c r="I25" s="144"/>
      <c r="J25" s="144"/>
      <c r="K25" s="145"/>
      <c r="L25" s="146"/>
      <c r="M25" s="147"/>
      <c r="N25" s="146"/>
      <c r="O25" s="144"/>
      <c r="P25" s="144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</row>
    <row r="26" ht="13.5" customHeight="1">
      <c r="A26" s="142"/>
      <c r="B26" s="142"/>
      <c r="C26" s="142"/>
      <c r="D26" s="142"/>
      <c r="E26" s="142"/>
      <c r="F26" s="142"/>
      <c r="G26" s="143"/>
      <c r="H26" s="143"/>
      <c r="I26" s="144"/>
      <c r="J26" s="144"/>
      <c r="K26" s="145"/>
      <c r="L26" s="146"/>
      <c r="M26" s="147"/>
      <c r="N26" s="146"/>
      <c r="O26" s="144"/>
      <c r="P26" s="144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</row>
    <row r="27" ht="13.5" customHeight="1">
      <c r="A27" s="142"/>
      <c r="B27" s="142"/>
      <c r="C27" s="142"/>
      <c r="D27" s="142"/>
      <c r="E27" s="142"/>
      <c r="F27" s="142"/>
      <c r="G27" s="143"/>
      <c r="H27" s="143"/>
      <c r="I27" s="144"/>
      <c r="J27" s="144"/>
      <c r="K27" s="145"/>
      <c r="L27" s="146"/>
      <c r="M27" s="147"/>
      <c r="N27" s="146"/>
      <c r="O27" s="144"/>
      <c r="P27" s="144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</row>
    <row r="28" ht="13.5" customHeight="1">
      <c r="A28" s="142"/>
      <c r="B28" s="142"/>
      <c r="C28" s="142"/>
      <c r="D28" s="142"/>
      <c r="E28" s="142"/>
      <c r="F28" s="142"/>
      <c r="G28" s="143"/>
      <c r="H28" s="143"/>
      <c r="I28" s="144"/>
      <c r="J28" s="144"/>
      <c r="K28" s="145"/>
      <c r="L28" s="146"/>
      <c r="M28" s="147"/>
      <c r="N28" s="146"/>
      <c r="O28" s="144"/>
      <c r="P28" s="144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</row>
    <row r="29" ht="13.5" customHeight="1">
      <c r="A29" s="142"/>
      <c r="B29" s="142"/>
      <c r="C29" s="142"/>
      <c r="D29" s="142"/>
      <c r="E29" s="142"/>
      <c r="F29" s="142"/>
      <c r="G29" s="143"/>
      <c r="H29" s="143"/>
      <c r="I29" s="144"/>
      <c r="J29" s="144"/>
      <c r="K29" s="145"/>
      <c r="L29" s="146"/>
      <c r="M29" s="147"/>
      <c r="N29" s="146"/>
      <c r="O29" s="144"/>
      <c r="P29" s="144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</row>
    <row r="30" ht="13.5" customHeight="1">
      <c r="A30" s="142"/>
      <c r="B30" s="142"/>
      <c r="C30" s="142"/>
      <c r="D30" s="142"/>
      <c r="E30" s="142"/>
      <c r="F30" s="142"/>
      <c r="G30" s="143"/>
      <c r="H30" s="143"/>
      <c r="I30" s="144"/>
      <c r="J30" s="144"/>
      <c r="K30" s="145"/>
      <c r="L30" s="146"/>
      <c r="M30" s="147"/>
      <c r="N30" s="146"/>
      <c r="O30" s="144"/>
      <c r="P30" s="144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</row>
    <row r="31" ht="13.5" customHeight="1">
      <c r="A31" s="142"/>
      <c r="B31" s="142"/>
      <c r="C31" s="142"/>
      <c r="D31" s="142"/>
      <c r="E31" s="142"/>
      <c r="F31" s="142"/>
      <c r="G31" s="143"/>
      <c r="H31" s="143"/>
      <c r="I31" s="144"/>
      <c r="J31" s="144"/>
      <c r="K31" s="145"/>
      <c r="L31" s="146"/>
      <c r="M31" s="147"/>
      <c r="N31" s="146"/>
      <c r="O31" s="144"/>
      <c r="P31" s="144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</row>
    <row r="32" ht="13.5" customHeight="1">
      <c r="A32" s="142"/>
      <c r="B32" s="142"/>
      <c r="C32" s="142"/>
      <c r="D32" s="142"/>
      <c r="E32" s="142"/>
      <c r="F32" s="142"/>
      <c r="G32" s="143"/>
      <c r="H32" s="143"/>
      <c r="I32" s="144"/>
      <c r="J32" s="144"/>
      <c r="K32" s="145"/>
      <c r="L32" s="146"/>
      <c r="M32" s="147"/>
      <c r="N32" s="146"/>
      <c r="O32" s="144"/>
      <c r="P32" s="144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</row>
    <row r="33" ht="13.5" customHeight="1">
      <c r="A33" s="142"/>
      <c r="B33" s="142"/>
      <c r="C33" s="142"/>
      <c r="D33" s="142"/>
      <c r="E33" s="142"/>
      <c r="F33" s="142"/>
      <c r="G33" s="143"/>
      <c r="H33" s="143"/>
      <c r="I33" s="144"/>
      <c r="J33" s="144"/>
      <c r="K33" s="145"/>
      <c r="L33" s="146"/>
      <c r="M33" s="147"/>
      <c r="N33" s="146"/>
      <c r="O33" s="144"/>
      <c r="P33" s="144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</row>
    <row r="34" ht="13.5" customHeight="1">
      <c r="A34" s="142"/>
      <c r="B34" s="142"/>
      <c r="C34" s="142"/>
      <c r="D34" s="142"/>
      <c r="E34" s="142"/>
      <c r="F34" s="142"/>
      <c r="G34" s="143"/>
      <c r="H34" s="143"/>
      <c r="I34" s="144"/>
      <c r="J34" s="144"/>
      <c r="K34" s="145"/>
      <c r="L34" s="146"/>
      <c r="M34" s="147"/>
      <c r="N34" s="146"/>
      <c r="O34" s="144"/>
      <c r="P34" s="144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</row>
    <row r="35" ht="13.5" customHeight="1">
      <c r="A35" s="142"/>
      <c r="B35" s="142"/>
      <c r="C35" s="142"/>
      <c r="D35" s="142"/>
      <c r="E35" s="142"/>
      <c r="F35" s="142"/>
      <c r="G35" s="143"/>
      <c r="H35" s="143"/>
      <c r="I35" s="144"/>
      <c r="J35" s="144"/>
      <c r="K35" s="145"/>
      <c r="L35" s="146"/>
      <c r="M35" s="147"/>
      <c r="N35" s="146"/>
      <c r="O35" s="144"/>
      <c r="P35" s="144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</row>
    <row r="36" ht="13.5" customHeight="1">
      <c r="A36" s="142"/>
      <c r="B36" s="142"/>
      <c r="C36" s="142"/>
      <c r="D36" s="142"/>
      <c r="E36" s="142"/>
      <c r="F36" s="142"/>
      <c r="G36" s="143"/>
      <c r="H36" s="143"/>
      <c r="I36" s="144"/>
      <c r="J36" s="144"/>
      <c r="K36" s="145"/>
      <c r="L36" s="146"/>
      <c r="M36" s="147"/>
      <c r="N36" s="146"/>
      <c r="O36" s="144"/>
      <c r="P36" s="144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</row>
    <row r="37" ht="13.5" customHeight="1">
      <c r="A37" s="142"/>
      <c r="B37" s="142"/>
      <c r="C37" s="142"/>
      <c r="D37" s="142"/>
      <c r="E37" s="142"/>
      <c r="F37" s="142"/>
      <c r="G37" s="143"/>
      <c r="H37" s="143"/>
      <c r="I37" s="144"/>
      <c r="J37" s="144"/>
      <c r="K37" s="145"/>
      <c r="L37" s="146"/>
      <c r="M37" s="147"/>
      <c r="N37" s="146"/>
      <c r="O37" s="144"/>
      <c r="P37" s="144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ht="13.5" customHeight="1">
      <c r="A38" s="142"/>
      <c r="B38" s="142"/>
      <c r="C38" s="142"/>
      <c r="D38" s="142"/>
      <c r="E38" s="142"/>
      <c r="F38" s="142"/>
      <c r="G38" s="143"/>
      <c r="H38" s="143"/>
      <c r="I38" s="144"/>
      <c r="J38" s="144"/>
      <c r="K38" s="145"/>
      <c r="L38" s="146"/>
      <c r="M38" s="147"/>
      <c r="N38" s="146"/>
      <c r="O38" s="144"/>
      <c r="P38" s="144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</row>
    <row r="39" ht="13.5" customHeight="1">
      <c r="A39" s="142"/>
      <c r="B39" s="142"/>
      <c r="C39" s="142"/>
      <c r="D39" s="142"/>
      <c r="E39" s="142"/>
      <c r="F39" s="142"/>
      <c r="G39" s="143"/>
      <c r="H39" s="143"/>
      <c r="I39" s="144"/>
      <c r="J39" s="144"/>
      <c r="K39" s="145"/>
      <c r="L39" s="146"/>
      <c r="M39" s="147"/>
      <c r="N39" s="146"/>
      <c r="O39" s="144"/>
      <c r="P39" s="144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</row>
    <row r="40" ht="13.5" customHeight="1">
      <c r="A40" s="142"/>
      <c r="B40" s="142"/>
      <c r="C40" s="142"/>
      <c r="D40" s="142"/>
      <c r="E40" s="142"/>
      <c r="F40" s="142"/>
      <c r="G40" s="143"/>
      <c r="H40" s="143"/>
      <c r="I40" s="144"/>
      <c r="J40" s="144"/>
      <c r="K40" s="145"/>
      <c r="L40" s="146"/>
      <c r="M40" s="147"/>
      <c r="N40" s="146"/>
      <c r="O40" s="144"/>
      <c r="P40" s="144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</row>
    <row r="41" ht="13.5" customHeight="1">
      <c r="A41" s="142"/>
      <c r="B41" s="142"/>
      <c r="C41" s="142"/>
      <c r="D41" s="142"/>
      <c r="E41" s="142"/>
      <c r="F41" s="142"/>
      <c r="G41" s="143"/>
      <c r="H41" s="143"/>
      <c r="I41" s="144"/>
      <c r="J41" s="144"/>
      <c r="K41" s="145"/>
      <c r="L41" s="146"/>
      <c r="M41" s="147"/>
      <c r="N41" s="146"/>
      <c r="O41" s="144"/>
      <c r="P41" s="144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</row>
    <row r="42" ht="13.5" customHeight="1">
      <c r="A42" s="142"/>
      <c r="B42" s="142"/>
      <c r="C42" s="142"/>
      <c r="D42" s="142"/>
      <c r="E42" s="142"/>
      <c r="F42" s="142"/>
      <c r="G42" s="143"/>
      <c r="H42" s="143"/>
      <c r="I42" s="144"/>
      <c r="J42" s="144"/>
      <c r="K42" s="145"/>
      <c r="L42" s="146"/>
      <c r="M42" s="147"/>
      <c r="N42" s="146"/>
      <c r="O42" s="144"/>
      <c r="P42" s="144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</row>
    <row r="43" ht="13.5" customHeight="1">
      <c r="A43" s="142"/>
      <c r="B43" s="142"/>
      <c r="C43" s="142"/>
      <c r="D43" s="142"/>
      <c r="E43" s="142"/>
      <c r="F43" s="142"/>
      <c r="G43" s="143"/>
      <c r="H43" s="143"/>
      <c r="I43" s="144"/>
      <c r="J43" s="144"/>
      <c r="K43" s="145"/>
      <c r="L43" s="146"/>
      <c r="M43" s="147"/>
      <c r="N43" s="146"/>
      <c r="O43" s="144"/>
      <c r="P43" s="144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</row>
    <row r="44" ht="13.5" customHeight="1">
      <c r="A44" s="142"/>
      <c r="B44" s="142"/>
      <c r="C44" s="142"/>
      <c r="D44" s="142"/>
      <c r="E44" s="142"/>
      <c r="F44" s="142"/>
      <c r="G44" s="143"/>
      <c r="H44" s="143"/>
      <c r="I44" s="144"/>
      <c r="J44" s="144"/>
      <c r="K44" s="145"/>
      <c r="L44" s="146"/>
      <c r="M44" s="147"/>
      <c r="N44" s="146"/>
      <c r="O44" s="144"/>
      <c r="P44" s="144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</row>
    <row r="45" ht="13.5" customHeight="1">
      <c r="A45" s="142"/>
      <c r="B45" s="142"/>
      <c r="C45" s="142"/>
      <c r="D45" s="142"/>
      <c r="E45" s="142"/>
      <c r="F45" s="142"/>
      <c r="G45" s="143"/>
      <c r="H45" s="143"/>
      <c r="I45" s="144"/>
      <c r="J45" s="144"/>
      <c r="K45" s="145"/>
      <c r="L45" s="146"/>
      <c r="M45" s="147"/>
      <c r="N45" s="146"/>
      <c r="O45" s="144"/>
      <c r="P45" s="144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</row>
    <row r="46" ht="13.5" customHeight="1">
      <c r="A46" s="142"/>
      <c r="B46" s="142"/>
      <c r="C46" s="142"/>
      <c r="D46" s="142"/>
      <c r="E46" s="142"/>
      <c r="F46" s="142"/>
      <c r="G46" s="143"/>
      <c r="H46" s="143"/>
      <c r="I46" s="144"/>
      <c r="J46" s="144"/>
      <c r="K46" s="145"/>
      <c r="L46" s="146"/>
      <c r="M46" s="147"/>
      <c r="N46" s="146"/>
      <c r="O46" s="144"/>
      <c r="P46" s="144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</row>
    <row r="47" ht="13.5" customHeight="1">
      <c r="A47" s="142"/>
      <c r="B47" s="142"/>
      <c r="C47" s="142"/>
      <c r="D47" s="142"/>
      <c r="E47" s="142"/>
      <c r="F47" s="142"/>
      <c r="G47" s="143"/>
      <c r="H47" s="143"/>
      <c r="I47" s="144"/>
      <c r="J47" s="144"/>
      <c r="K47" s="145"/>
      <c r="L47" s="146"/>
      <c r="M47" s="147"/>
      <c r="N47" s="146"/>
      <c r="O47" s="144"/>
      <c r="P47" s="144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</row>
    <row r="48" ht="13.5" customHeight="1">
      <c r="A48" s="142"/>
      <c r="B48" s="142"/>
      <c r="C48" s="142"/>
      <c r="D48" s="142"/>
      <c r="E48" s="142"/>
      <c r="F48" s="142"/>
      <c r="G48" s="143"/>
      <c r="H48" s="143"/>
      <c r="I48" s="144"/>
      <c r="J48" s="144"/>
      <c r="K48" s="145"/>
      <c r="L48" s="146"/>
      <c r="M48" s="147"/>
      <c r="N48" s="146"/>
      <c r="O48" s="144"/>
      <c r="P48" s="144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</row>
    <row r="49" ht="13.5" customHeight="1">
      <c r="A49" s="142"/>
      <c r="B49" s="142"/>
      <c r="C49" s="142"/>
      <c r="D49" s="142"/>
      <c r="E49" s="142"/>
      <c r="F49" s="142"/>
      <c r="G49" s="143"/>
      <c r="H49" s="143"/>
      <c r="I49" s="144"/>
      <c r="J49" s="144"/>
      <c r="K49" s="145"/>
      <c r="L49" s="146"/>
      <c r="M49" s="147"/>
      <c r="N49" s="146"/>
      <c r="O49" s="144"/>
      <c r="P49" s="144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</row>
    <row r="50" ht="13.5" customHeight="1">
      <c r="A50" s="142"/>
      <c r="B50" s="142"/>
      <c r="C50" s="142"/>
      <c r="D50" s="142"/>
      <c r="E50" s="142"/>
      <c r="F50" s="142"/>
      <c r="G50" s="143"/>
      <c r="H50" s="143"/>
      <c r="I50" s="144"/>
      <c r="J50" s="144"/>
      <c r="K50" s="145"/>
      <c r="L50" s="146"/>
      <c r="M50" s="147"/>
      <c r="N50" s="146"/>
      <c r="O50" s="144"/>
      <c r="P50" s="144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</row>
    <row r="51" ht="13.5" customHeight="1">
      <c r="A51" s="142"/>
      <c r="B51" s="142"/>
      <c r="C51" s="142"/>
      <c r="D51" s="142"/>
      <c r="E51" s="142"/>
      <c r="F51" s="142"/>
      <c r="G51" s="143"/>
      <c r="H51" s="143"/>
      <c r="I51" s="144"/>
      <c r="J51" s="144"/>
      <c r="K51" s="145"/>
      <c r="L51" s="146"/>
      <c r="M51" s="147"/>
      <c r="N51" s="146"/>
      <c r="O51" s="144"/>
      <c r="P51" s="144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</row>
    <row r="52" ht="13.5" customHeight="1">
      <c r="A52" s="142"/>
      <c r="B52" s="142"/>
      <c r="C52" s="142"/>
      <c r="D52" s="142"/>
      <c r="E52" s="142"/>
      <c r="F52" s="142"/>
      <c r="G52" s="143"/>
      <c r="H52" s="143"/>
      <c r="I52" s="144"/>
      <c r="J52" s="144"/>
      <c r="K52" s="145"/>
      <c r="L52" s="146"/>
      <c r="M52" s="147"/>
      <c r="N52" s="146"/>
      <c r="O52" s="144"/>
      <c r="P52" s="144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</row>
    <row r="53" ht="13.5" customHeight="1">
      <c r="A53" s="142"/>
      <c r="B53" s="142"/>
      <c r="C53" s="142"/>
      <c r="D53" s="142"/>
      <c r="E53" s="142"/>
      <c r="F53" s="142"/>
      <c r="G53" s="143"/>
      <c r="H53" s="143"/>
      <c r="I53" s="144"/>
      <c r="J53" s="144"/>
      <c r="K53" s="145"/>
      <c r="L53" s="146"/>
      <c r="M53" s="147"/>
      <c r="N53" s="146"/>
      <c r="O53" s="144"/>
      <c r="P53" s="144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</row>
    <row r="54" ht="13.5" customHeight="1">
      <c r="A54" s="142"/>
      <c r="B54" s="142"/>
      <c r="C54" s="142"/>
      <c r="D54" s="142"/>
      <c r="E54" s="142"/>
      <c r="F54" s="142"/>
      <c r="G54" s="143"/>
      <c r="H54" s="143"/>
      <c r="I54" s="144"/>
      <c r="J54" s="144"/>
      <c r="K54" s="145"/>
      <c r="L54" s="146"/>
      <c r="M54" s="147"/>
      <c r="N54" s="146"/>
      <c r="O54" s="144"/>
      <c r="P54" s="144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</row>
    <row r="55" ht="13.5" customHeight="1">
      <c r="A55" s="142"/>
      <c r="B55" s="142"/>
      <c r="C55" s="142"/>
      <c r="D55" s="142"/>
      <c r="E55" s="142"/>
      <c r="F55" s="142"/>
      <c r="G55" s="143"/>
      <c r="H55" s="143"/>
      <c r="I55" s="144"/>
      <c r="J55" s="144"/>
      <c r="K55" s="145"/>
      <c r="L55" s="146"/>
      <c r="M55" s="147"/>
      <c r="N55" s="146"/>
      <c r="O55" s="144"/>
      <c r="P55" s="144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</row>
    <row r="56" ht="13.5" customHeight="1">
      <c r="A56" s="142"/>
      <c r="B56" s="142"/>
      <c r="C56" s="142"/>
      <c r="D56" s="142"/>
      <c r="E56" s="142"/>
      <c r="F56" s="142"/>
      <c r="G56" s="143"/>
      <c r="H56" s="143"/>
      <c r="I56" s="144"/>
      <c r="J56" s="144"/>
      <c r="K56" s="145"/>
      <c r="L56" s="146"/>
      <c r="M56" s="147"/>
      <c r="N56" s="146"/>
      <c r="O56" s="144"/>
      <c r="P56" s="144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</row>
    <row r="57" ht="13.5" customHeight="1">
      <c r="A57" s="142"/>
      <c r="B57" s="142"/>
      <c r="C57" s="142"/>
      <c r="D57" s="142"/>
      <c r="E57" s="142"/>
      <c r="F57" s="142"/>
      <c r="G57" s="143"/>
      <c r="H57" s="143"/>
      <c r="I57" s="144"/>
      <c r="J57" s="144"/>
      <c r="K57" s="145"/>
      <c r="L57" s="146"/>
      <c r="M57" s="147"/>
      <c r="N57" s="146"/>
      <c r="O57" s="144"/>
      <c r="P57" s="144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</row>
    <row r="58" ht="13.5" customHeight="1">
      <c r="A58" s="142"/>
      <c r="B58" s="142"/>
      <c r="C58" s="142"/>
      <c r="D58" s="142"/>
      <c r="E58" s="142"/>
      <c r="F58" s="142"/>
      <c r="G58" s="143"/>
      <c r="H58" s="143"/>
      <c r="I58" s="144"/>
      <c r="J58" s="144"/>
      <c r="K58" s="145"/>
      <c r="L58" s="146"/>
      <c r="M58" s="147"/>
      <c r="N58" s="146"/>
      <c r="O58" s="144"/>
      <c r="P58" s="144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</row>
    <row r="59" ht="13.5" customHeight="1">
      <c r="A59" s="142"/>
      <c r="B59" s="142"/>
      <c r="C59" s="142"/>
      <c r="D59" s="142"/>
      <c r="E59" s="142"/>
      <c r="F59" s="142"/>
      <c r="G59" s="143"/>
      <c r="H59" s="143"/>
      <c r="I59" s="144"/>
      <c r="J59" s="144"/>
      <c r="K59" s="145"/>
      <c r="L59" s="146"/>
      <c r="M59" s="147"/>
      <c r="N59" s="146"/>
      <c r="O59" s="144"/>
      <c r="P59" s="144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ht="13.5" customHeight="1">
      <c r="A60" s="142"/>
      <c r="B60" s="142"/>
      <c r="C60" s="142"/>
      <c r="D60" s="142"/>
      <c r="E60" s="142"/>
      <c r="F60" s="142"/>
      <c r="G60" s="143"/>
      <c r="H60" s="143"/>
      <c r="I60" s="144"/>
      <c r="J60" s="144"/>
      <c r="K60" s="145"/>
      <c r="L60" s="146"/>
      <c r="M60" s="147"/>
      <c r="N60" s="146"/>
      <c r="O60" s="144"/>
      <c r="P60" s="144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</row>
    <row r="61" ht="13.5" customHeight="1">
      <c r="A61" s="142"/>
      <c r="B61" s="142"/>
      <c r="C61" s="142"/>
      <c r="D61" s="142"/>
      <c r="E61" s="142"/>
      <c r="F61" s="142"/>
      <c r="G61" s="143"/>
      <c r="H61" s="143"/>
      <c r="I61" s="144"/>
      <c r="J61" s="144"/>
      <c r="K61" s="145"/>
      <c r="L61" s="146"/>
      <c r="M61" s="147"/>
      <c r="N61" s="146"/>
      <c r="O61" s="144"/>
      <c r="P61" s="144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</row>
    <row r="62" ht="13.5" customHeight="1">
      <c r="A62" s="142"/>
      <c r="B62" s="142"/>
      <c r="C62" s="142"/>
      <c r="D62" s="142"/>
      <c r="E62" s="142"/>
      <c r="F62" s="142"/>
      <c r="G62" s="143"/>
      <c r="H62" s="143"/>
      <c r="I62" s="144"/>
      <c r="J62" s="144"/>
      <c r="K62" s="145"/>
      <c r="L62" s="146"/>
      <c r="M62" s="147"/>
      <c r="N62" s="146"/>
      <c r="O62" s="144"/>
      <c r="P62" s="144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</row>
    <row r="63" ht="13.5" customHeight="1">
      <c r="A63" s="142"/>
      <c r="B63" s="142"/>
      <c r="C63" s="142"/>
      <c r="D63" s="142"/>
      <c r="E63" s="142"/>
      <c r="F63" s="142"/>
      <c r="G63" s="143"/>
      <c r="H63" s="143"/>
      <c r="I63" s="144"/>
      <c r="J63" s="144"/>
      <c r="K63" s="145"/>
      <c r="L63" s="146"/>
      <c r="M63" s="147"/>
      <c r="N63" s="146"/>
      <c r="O63" s="144"/>
      <c r="P63" s="144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</row>
    <row r="64" ht="13.5" customHeight="1">
      <c r="A64" s="142"/>
      <c r="B64" s="142"/>
      <c r="C64" s="142"/>
      <c r="D64" s="142"/>
      <c r="E64" s="142"/>
      <c r="F64" s="142"/>
      <c r="G64" s="143"/>
      <c r="H64" s="143"/>
      <c r="I64" s="144"/>
      <c r="J64" s="144"/>
      <c r="K64" s="145"/>
      <c r="L64" s="146"/>
      <c r="M64" s="147"/>
      <c r="N64" s="146"/>
      <c r="O64" s="144"/>
      <c r="P64" s="144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</row>
    <row r="65" ht="13.5" customHeight="1">
      <c r="A65" s="142"/>
      <c r="B65" s="142"/>
      <c r="C65" s="142"/>
      <c r="D65" s="142"/>
      <c r="E65" s="142"/>
      <c r="F65" s="142"/>
      <c r="G65" s="143"/>
      <c r="H65" s="143"/>
      <c r="I65" s="144"/>
      <c r="J65" s="144"/>
      <c r="K65" s="145"/>
      <c r="L65" s="146"/>
      <c r="M65" s="147"/>
      <c r="N65" s="146"/>
      <c r="O65" s="144"/>
      <c r="P65" s="144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</row>
    <row r="66" ht="13.5" customHeight="1">
      <c r="A66" s="142"/>
      <c r="B66" s="142"/>
      <c r="C66" s="142"/>
      <c r="D66" s="142"/>
      <c r="E66" s="142"/>
      <c r="F66" s="142"/>
      <c r="G66" s="143"/>
      <c r="H66" s="143"/>
      <c r="I66" s="144"/>
      <c r="J66" s="144"/>
      <c r="K66" s="145"/>
      <c r="L66" s="146"/>
      <c r="M66" s="147"/>
      <c r="N66" s="146"/>
      <c r="O66" s="144"/>
      <c r="P66" s="144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</row>
    <row r="67" ht="13.5" customHeight="1">
      <c r="A67" s="142"/>
      <c r="B67" s="142"/>
      <c r="C67" s="142"/>
      <c r="D67" s="142"/>
      <c r="E67" s="142"/>
      <c r="F67" s="142"/>
      <c r="G67" s="143"/>
      <c r="H67" s="143"/>
      <c r="I67" s="144"/>
      <c r="J67" s="144"/>
      <c r="K67" s="145"/>
      <c r="L67" s="146"/>
      <c r="M67" s="147"/>
      <c r="N67" s="146"/>
      <c r="O67" s="144"/>
      <c r="P67" s="144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</row>
    <row r="68" ht="13.5" customHeight="1">
      <c r="A68" s="142"/>
      <c r="B68" s="142"/>
      <c r="C68" s="142"/>
      <c r="D68" s="142"/>
      <c r="E68" s="142"/>
      <c r="F68" s="142"/>
      <c r="G68" s="143"/>
      <c r="H68" s="143"/>
      <c r="I68" s="144"/>
      <c r="J68" s="144"/>
      <c r="K68" s="145"/>
      <c r="L68" s="146"/>
      <c r="M68" s="147"/>
      <c r="N68" s="146"/>
      <c r="O68" s="144"/>
      <c r="P68" s="144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</row>
    <row r="69" ht="13.5" customHeight="1">
      <c r="A69" s="142"/>
      <c r="B69" s="142"/>
      <c r="C69" s="142"/>
      <c r="D69" s="142"/>
      <c r="E69" s="142"/>
      <c r="F69" s="142"/>
      <c r="G69" s="143"/>
      <c r="H69" s="143"/>
      <c r="I69" s="144"/>
      <c r="J69" s="144"/>
      <c r="K69" s="145"/>
      <c r="L69" s="146"/>
      <c r="M69" s="147"/>
      <c r="N69" s="146"/>
      <c r="O69" s="144"/>
      <c r="P69" s="144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</row>
    <row r="70" ht="13.5" customHeight="1">
      <c r="A70" s="142"/>
      <c r="B70" s="142"/>
      <c r="C70" s="142"/>
      <c r="D70" s="142"/>
      <c r="E70" s="142"/>
      <c r="F70" s="142"/>
      <c r="G70" s="143"/>
      <c r="H70" s="143"/>
      <c r="I70" s="144"/>
      <c r="J70" s="144"/>
      <c r="K70" s="145"/>
      <c r="L70" s="146"/>
      <c r="M70" s="147"/>
      <c r="N70" s="146"/>
      <c r="O70" s="144"/>
      <c r="P70" s="144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</row>
    <row r="71" ht="13.5" customHeight="1">
      <c r="A71" s="142"/>
      <c r="B71" s="142"/>
      <c r="C71" s="142"/>
      <c r="D71" s="142"/>
      <c r="E71" s="142"/>
      <c r="F71" s="142"/>
      <c r="G71" s="143"/>
      <c r="H71" s="143"/>
      <c r="I71" s="144"/>
      <c r="J71" s="144"/>
      <c r="K71" s="145"/>
      <c r="L71" s="146"/>
      <c r="M71" s="147"/>
      <c r="N71" s="146"/>
      <c r="O71" s="144"/>
      <c r="P71" s="144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</row>
    <row r="72" ht="13.5" customHeight="1">
      <c r="A72" s="142"/>
      <c r="B72" s="142"/>
      <c r="C72" s="142"/>
      <c r="D72" s="142"/>
      <c r="E72" s="142"/>
      <c r="F72" s="142"/>
      <c r="G72" s="143"/>
      <c r="H72" s="143"/>
      <c r="I72" s="144"/>
      <c r="J72" s="144"/>
      <c r="K72" s="145"/>
      <c r="L72" s="146"/>
      <c r="M72" s="147"/>
      <c r="N72" s="146"/>
      <c r="O72" s="144"/>
      <c r="P72" s="144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</row>
    <row r="73" ht="13.5" customHeight="1">
      <c r="A73" s="142"/>
      <c r="B73" s="142"/>
      <c r="C73" s="142"/>
      <c r="D73" s="142"/>
      <c r="E73" s="142"/>
      <c r="F73" s="142"/>
      <c r="G73" s="143"/>
      <c r="H73" s="143"/>
      <c r="I73" s="144"/>
      <c r="J73" s="144"/>
      <c r="K73" s="145"/>
      <c r="L73" s="146"/>
      <c r="M73" s="147"/>
      <c r="N73" s="146"/>
      <c r="O73" s="144"/>
      <c r="P73" s="144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</row>
    <row r="74" ht="13.5" customHeight="1">
      <c r="A74" s="142"/>
      <c r="B74" s="142"/>
      <c r="C74" s="142"/>
      <c r="D74" s="142"/>
      <c r="E74" s="142"/>
      <c r="F74" s="142"/>
      <c r="G74" s="143"/>
      <c r="H74" s="143"/>
      <c r="I74" s="144"/>
      <c r="J74" s="144"/>
      <c r="K74" s="145"/>
      <c r="L74" s="146"/>
      <c r="M74" s="147"/>
      <c r="N74" s="146"/>
      <c r="O74" s="144"/>
      <c r="P74" s="144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</row>
    <row r="75" ht="13.5" customHeight="1">
      <c r="A75" s="142"/>
      <c r="B75" s="142"/>
      <c r="C75" s="142"/>
      <c r="D75" s="142"/>
      <c r="E75" s="142"/>
      <c r="F75" s="142"/>
      <c r="G75" s="143"/>
      <c r="H75" s="143"/>
      <c r="I75" s="144"/>
      <c r="J75" s="144"/>
      <c r="K75" s="145"/>
      <c r="L75" s="146"/>
      <c r="M75" s="147"/>
      <c r="N75" s="146"/>
      <c r="O75" s="144"/>
      <c r="P75" s="144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</row>
    <row r="76" ht="13.5" customHeight="1">
      <c r="A76" s="142"/>
      <c r="B76" s="142"/>
      <c r="C76" s="142"/>
      <c r="D76" s="142"/>
      <c r="E76" s="142"/>
      <c r="F76" s="142"/>
      <c r="G76" s="143"/>
      <c r="H76" s="143"/>
      <c r="I76" s="144"/>
      <c r="J76" s="144"/>
      <c r="K76" s="145"/>
      <c r="L76" s="146"/>
      <c r="M76" s="147"/>
      <c r="N76" s="146"/>
      <c r="O76" s="144"/>
      <c r="P76" s="144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</row>
    <row r="77" ht="13.5" customHeight="1">
      <c r="A77" s="142"/>
      <c r="B77" s="142"/>
      <c r="C77" s="142"/>
      <c r="D77" s="142"/>
      <c r="E77" s="142"/>
      <c r="F77" s="142"/>
      <c r="G77" s="143"/>
      <c r="H77" s="143"/>
      <c r="I77" s="144"/>
      <c r="J77" s="144"/>
      <c r="K77" s="145"/>
      <c r="L77" s="146"/>
      <c r="M77" s="147"/>
      <c r="N77" s="146"/>
      <c r="O77" s="144"/>
      <c r="P77" s="144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</row>
    <row r="78" ht="13.5" customHeight="1">
      <c r="A78" s="142"/>
      <c r="B78" s="142"/>
      <c r="C78" s="142"/>
      <c r="D78" s="142"/>
      <c r="E78" s="142"/>
      <c r="F78" s="142"/>
      <c r="G78" s="143"/>
      <c r="H78" s="143"/>
      <c r="I78" s="144"/>
      <c r="J78" s="144"/>
      <c r="K78" s="145"/>
      <c r="L78" s="146"/>
      <c r="M78" s="147"/>
      <c r="N78" s="146"/>
      <c r="O78" s="144"/>
      <c r="P78" s="144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</row>
    <row r="79" ht="13.5" customHeight="1">
      <c r="A79" s="142"/>
      <c r="B79" s="142"/>
      <c r="C79" s="142"/>
      <c r="D79" s="142"/>
      <c r="E79" s="142"/>
      <c r="F79" s="142"/>
      <c r="G79" s="143"/>
      <c r="H79" s="143"/>
      <c r="I79" s="144"/>
      <c r="J79" s="144"/>
      <c r="K79" s="145"/>
      <c r="L79" s="146"/>
      <c r="M79" s="147"/>
      <c r="N79" s="146"/>
      <c r="O79" s="144"/>
      <c r="P79" s="144"/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</row>
    <row r="80" ht="13.5" customHeight="1">
      <c r="A80" s="142"/>
      <c r="B80" s="142"/>
      <c r="C80" s="142"/>
      <c r="D80" s="142"/>
      <c r="E80" s="142"/>
      <c r="F80" s="142"/>
      <c r="G80" s="143"/>
      <c r="H80" s="143"/>
      <c r="I80" s="144"/>
      <c r="J80" s="144"/>
      <c r="K80" s="145"/>
      <c r="L80" s="146"/>
      <c r="M80" s="147"/>
      <c r="N80" s="146"/>
      <c r="O80" s="144"/>
      <c r="P80" s="144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</row>
    <row r="81" ht="13.5" customHeight="1">
      <c r="A81" s="142"/>
      <c r="B81" s="142"/>
      <c r="C81" s="142"/>
      <c r="D81" s="142"/>
      <c r="E81" s="142"/>
      <c r="F81" s="142"/>
      <c r="G81" s="143"/>
      <c r="H81" s="143"/>
      <c r="I81" s="144"/>
      <c r="J81" s="144"/>
      <c r="K81" s="145"/>
      <c r="L81" s="146"/>
      <c r="M81" s="147"/>
      <c r="N81" s="146"/>
      <c r="O81" s="144"/>
      <c r="P81" s="144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</row>
    <row r="82" ht="13.5" customHeight="1">
      <c r="A82" s="142"/>
      <c r="B82" s="142"/>
      <c r="C82" s="142"/>
      <c r="D82" s="142"/>
      <c r="E82" s="142"/>
      <c r="F82" s="142"/>
      <c r="G82" s="143"/>
      <c r="H82" s="143"/>
      <c r="I82" s="144"/>
      <c r="J82" s="144"/>
      <c r="K82" s="145"/>
      <c r="L82" s="146"/>
      <c r="M82" s="147"/>
      <c r="N82" s="146"/>
      <c r="O82" s="144"/>
      <c r="P82" s="144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</row>
    <row r="83" ht="13.5" customHeight="1">
      <c r="A83" s="142"/>
      <c r="B83" s="142"/>
      <c r="C83" s="142"/>
      <c r="D83" s="142"/>
      <c r="E83" s="142"/>
      <c r="F83" s="142"/>
      <c r="G83" s="143"/>
      <c r="H83" s="143"/>
      <c r="I83" s="144"/>
      <c r="J83" s="144"/>
      <c r="K83" s="145"/>
      <c r="L83" s="146"/>
      <c r="M83" s="147"/>
      <c r="N83" s="146"/>
      <c r="O83" s="144"/>
      <c r="P83" s="144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</row>
    <row r="84" ht="13.5" customHeight="1">
      <c r="A84" s="142"/>
      <c r="B84" s="142"/>
      <c r="C84" s="142"/>
      <c r="D84" s="142"/>
      <c r="E84" s="142"/>
      <c r="F84" s="142"/>
      <c r="G84" s="143"/>
      <c r="H84" s="143"/>
      <c r="I84" s="144"/>
      <c r="J84" s="144"/>
      <c r="K84" s="145"/>
      <c r="L84" s="146"/>
      <c r="M84" s="147"/>
      <c r="N84" s="146"/>
      <c r="O84" s="144"/>
      <c r="P84" s="144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</row>
    <row r="85" ht="13.5" customHeight="1">
      <c r="A85" s="142"/>
      <c r="B85" s="142"/>
      <c r="C85" s="142"/>
      <c r="D85" s="142"/>
      <c r="E85" s="142"/>
      <c r="F85" s="142"/>
      <c r="G85" s="143"/>
      <c r="H85" s="143"/>
      <c r="I85" s="144"/>
      <c r="J85" s="144"/>
      <c r="K85" s="145"/>
      <c r="L85" s="146"/>
      <c r="M85" s="147"/>
      <c r="N85" s="146"/>
      <c r="O85" s="144"/>
      <c r="P85" s="144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</row>
    <row r="86" ht="13.5" customHeight="1">
      <c r="A86" s="142"/>
      <c r="B86" s="142"/>
      <c r="C86" s="142"/>
      <c r="D86" s="142"/>
      <c r="E86" s="142"/>
      <c r="F86" s="142"/>
      <c r="G86" s="143"/>
      <c r="H86" s="143"/>
      <c r="I86" s="144"/>
      <c r="J86" s="144"/>
      <c r="K86" s="145"/>
      <c r="L86" s="146"/>
      <c r="M86" s="147"/>
      <c r="N86" s="146"/>
      <c r="O86" s="144"/>
      <c r="P86" s="144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</row>
    <row r="87" ht="13.5" customHeight="1">
      <c r="A87" s="142"/>
      <c r="B87" s="142"/>
      <c r="C87" s="142"/>
      <c r="D87" s="142"/>
      <c r="E87" s="142"/>
      <c r="F87" s="142"/>
      <c r="G87" s="143"/>
      <c r="H87" s="143"/>
      <c r="I87" s="144"/>
      <c r="J87" s="144"/>
      <c r="K87" s="145"/>
      <c r="L87" s="146"/>
      <c r="M87" s="147"/>
      <c r="N87" s="146"/>
      <c r="O87" s="144"/>
      <c r="P87" s="144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</row>
    <row r="88" ht="13.5" customHeight="1">
      <c r="A88" s="142"/>
      <c r="B88" s="142"/>
      <c r="C88" s="142"/>
      <c r="D88" s="142"/>
      <c r="E88" s="142"/>
      <c r="F88" s="142"/>
      <c r="G88" s="143"/>
      <c r="H88" s="143"/>
      <c r="I88" s="144"/>
      <c r="J88" s="144"/>
      <c r="K88" s="145"/>
      <c r="L88" s="146"/>
      <c r="M88" s="147"/>
      <c r="N88" s="146"/>
      <c r="O88" s="144"/>
      <c r="P88" s="144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</row>
    <row r="89" ht="13.5" customHeight="1">
      <c r="A89" s="142"/>
      <c r="B89" s="142"/>
      <c r="C89" s="142"/>
      <c r="D89" s="142"/>
      <c r="E89" s="142"/>
      <c r="F89" s="142"/>
      <c r="G89" s="143"/>
      <c r="H89" s="143"/>
      <c r="I89" s="144"/>
      <c r="J89" s="144"/>
      <c r="K89" s="145"/>
      <c r="L89" s="146"/>
      <c r="M89" s="147"/>
      <c r="N89" s="146"/>
      <c r="O89" s="144"/>
      <c r="P89" s="144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</row>
    <row r="90" ht="13.5" customHeight="1">
      <c r="A90" s="142"/>
      <c r="B90" s="142"/>
      <c r="C90" s="142"/>
      <c r="D90" s="142"/>
      <c r="E90" s="142"/>
      <c r="F90" s="142"/>
      <c r="G90" s="143"/>
      <c r="H90" s="143"/>
      <c r="I90" s="144"/>
      <c r="J90" s="144"/>
      <c r="K90" s="145"/>
      <c r="L90" s="146"/>
      <c r="M90" s="147"/>
      <c r="N90" s="146"/>
      <c r="O90" s="144"/>
      <c r="P90" s="144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</row>
    <row r="91" ht="13.5" customHeight="1">
      <c r="A91" s="142"/>
      <c r="B91" s="142"/>
      <c r="C91" s="142"/>
      <c r="D91" s="142"/>
      <c r="E91" s="142"/>
      <c r="F91" s="142"/>
      <c r="G91" s="143"/>
      <c r="H91" s="143"/>
      <c r="I91" s="144"/>
      <c r="J91" s="144"/>
      <c r="K91" s="145"/>
      <c r="L91" s="146"/>
      <c r="M91" s="147"/>
      <c r="N91" s="146"/>
      <c r="O91" s="144"/>
      <c r="P91" s="144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</row>
    <row r="92" ht="13.5" customHeight="1">
      <c r="A92" s="142"/>
      <c r="B92" s="142"/>
      <c r="C92" s="142"/>
      <c r="D92" s="142"/>
      <c r="E92" s="142"/>
      <c r="F92" s="142"/>
      <c r="G92" s="143"/>
      <c r="H92" s="143"/>
      <c r="I92" s="144"/>
      <c r="J92" s="144"/>
      <c r="K92" s="145"/>
      <c r="L92" s="146"/>
      <c r="M92" s="147"/>
      <c r="N92" s="146"/>
      <c r="O92" s="144"/>
      <c r="P92" s="144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</row>
    <row r="93" ht="13.5" customHeight="1">
      <c r="A93" s="142"/>
      <c r="B93" s="142"/>
      <c r="C93" s="142"/>
      <c r="D93" s="142"/>
      <c r="E93" s="142"/>
      <c r="F93" s="142"/>
      <c r="G93" s="143"/>
      <c r="H93" s="143"/>
      <c r="I93" s="144"/>
      <c r="J93" s="144"/>
      <c r="K93" s="145"/>
      <c r="L93" s="146"/>
      <c r="M93" s="147"/>
      <c r="N93" s="146"/>
      <c r="O93" s="144"/>
      <c r="P93" s="144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</row>
    <row r="94" ht="13.5" customHeight="1">
      <c r="A94" s="142"/>
      <c r="B94" s="142"/>
      <c r="C94" s="142"/>
      <c r="D94" s="142"/>
      <c r="E94" s="142"/>
      <c r="F94" s="142"/>
      <c r="G94" s="143"/>
      <c r="H94" s="143"/>
      <c r="I94" s="144"/>
      <c r="J94" s="144"/>
      <c r="K94" s="145"/>
      <c r="L94" s="146"/>
      <c r="M94" s="147"/>
      <c r="N94" s="146"/>
      <c r="O94" s="144"/>
      <c r="P94" s="144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</row>
    <row r="95" ht="13.5" customHeight="1">
      <c r="A95" s="142"/>
      <c r="B95" s="142"/>
      <c r="C95" s="142"/>
      <c r="D95" s="142"/>
      <c r="E95" s="142"/>
      <c r="F95" s="142"/>
      <c r="G95" s="143"/>
      <c r="H95" s="143"/>
      <c r="I95" s="144"/>
      <c r="J95" s="144"/>
      <c r="K95" s="145"/>
      <c r="L95" s="146"/>
      <c r="M95" s="147"/>
      <c r="N95" s="146"/>
      <c r="O95" s="144"/>
      <c r="P95" s="144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</row>
    <row r="96" ht="13.5" customHeight="1">
      <c r="A96" s="142"/>
      <c r="B96" s="142"/>
      <c r="C96" s="142"/>
      <c r="D96" s="142"/>
      <c r="E96" s="142"/>
      <c r="F96" s="142"/>
      <c r="G96" s="143"/>
      <c r="H96" s="143"/>
      <c r="I96" s="144"/>
      <c r="J96" s="144"/>
      <c r="K96" s="145"/>
      <c r="L96" s="146"/>
      <c r="M96" s="147"/>
      <c r="N96" s="146"/>
      <c r="O96" s="144"/>
      <c r="P96" s="144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</row>
    <row r="97" ht="13.5" customHeight="1">
      <c r="A97" s="142"/>
      <c r="B97" s="142"/>
      <c r="C97" s="142"/>
      <c r="D97" s="142"/>
      <c r="E97" s="142"/>
      <c r="F97" s="142"/>
      <c r="G97" s="143"/>
      <c r="H97" s="143"/>
      <c r="I97" s="144"/>
      <c r="J97" s="144"/>
      <c r="K97" s="145"/>
      <c r="L97" s="146"/>
      <c r="M97" s="147"/>
      <c r="N97" s="146"/>
      <c r="O97" s="144"/>
      <c r="P97" s="144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</row>
    <row r="98" ht="13.5" customHeight="1">
      <c r="A98" s="142"/>
      <c r="B98" s="142"/>
      <c r="C98" s="142"/>
      <c r="D98" s="142"/>
      <c r="E98" s="142"/>
      <c r="F98" s="142"/>
      <c r="G98" s="143"/>
      <c r="H98" s="143"/>
      <c r="I98" s="144"/>
      <c r="J98" s="144"/>
      <c r="K98" s="145"/>
      <c r="L98" s="146"/>
      <c r="M98" s="147"/>
      <c r="N98" s="146"/>
      <c r="O98" s="144"/>
      <c r="P98" s="144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</row>
    <row r="99" ht="13.5" customHeight="1">
      <c r="A99" s="142"/>
      <c r="B99" s="142"/>
      <c r="C99" s="142"/>
      <c r="D99" s="142"/>
      <c r="E99" s="142"/>
      <c r="F99" s="142"/>
      <c r="G99" s="143"/>
      <c r="H99" s="143"/>
      <c r="I99" s="144"/>
      <c r="J99" s="144"/>
      <c r="K99" s="145"/>
      <c r="L99" s="146"/>
      <c r="M99" s="147"/>
      <c r="N99" s="146"/>
      <c r="O99" s="144"/>
      <c r="P99" s="144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</row>
    <row r="100" ht="13.5" customHeight="1">
      <c r="A100" s="142"/>
      <c r="B100" s="142"/>
      <c r="C100" s="142"/>
      <c r="D100" s="142"/>
      <c r="E100" s="142"/>
      <c r="F100" s="142"/>
      <c r="G100" s="143"/>
      <c r="H100" s="143"/>
      <c r="I100" s="144"/>
      <c r="J100" s="144"/>
      <c r="K100" s="145"/>
      <c r="L100" s="146"/>
      <c r="M100" s="147"/>
      <c r="N100" s="146"/>
      <c r="O100" s="144"/>
      <c r="P100" s="144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</row>
    <row r="101" ht="13.5" customHeight="1">
      <c r="A101" s="142"/>
      <c r="B101" s="142"/>
      <c r="C101" s="142"/>
      <c r="D101" s="142"/>
      <c r="E101" s="142"/>
      <c r="F101" s="142"/>
      <c r="G101" s="143"/>
      <c r="H101" s="143"/>
      <c r="I101" s="144"/>
      <c r="J101" s="144"/>
      <c r="K101" s="145"/>
      <c r="L101" s="146"/>
      <c r="M101" s="147"/>
      <c r="N101" s="146"/>
      <c r="O101" s="144"/>
      <c r="P101" s="144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</row>
    <row r="102" ht="13.5" customHeight="1">
      <c r="A102" s="142"/>
      <c r="B102" s="142"/>
      <c r="C102" s="142"/>
      <c r="D102" s="142"/>
      <c r="E102" s="142"/>
      <c r="F102" s="142"/>
      <c r="G102" s="143"/>
      <c r="H102" s="143"/>
      <c r="I102" s="144"/>
      <c r="J102" s="144"/>
      <c r="K102" s="145"/>
      <c r="L102" s="146"/>
      <c r="M102" s="147"/>
      <c r="N102" s="146"/>
      <c r="O102" s="144"/>
      <c r="P102" s="144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</row>
    <row r="103" ht="13.5" customHeight="1">
      <c r="A103" s="142"/>
      <c r="B103" s="142"/>
      <c r="C103" s="142"/>
      <c r="D103" s="142"/>
      <c r="E103" s="142"/>
      <c r="F103" s="142"/>
      <c r="G103" s="143"/>
      <c r="H103" s="143"/>
      <c r="I103" s="144"/>
      <c r="J103" s="144"/>
      <c r="K103" s="145"/>
      <c r="L103" s="146"/>
      <c r="M103" s="147"/>
      <c r="N103" s="146"/>
      <c r="O103" s="144"/>
      <c r="P103" s="144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</row>
    <row r="104" ht="13.5" customHeight="1">
      <c r="A104" s="142"/>
      <c r="B104" s="142"/>
      <c r="C104" s="142"/>
      <c r="D104" s="142"/>
      <c r="E104" s="142"/>
      <c r="F104" s="142"/>
      <c r="G104" s="143"/>
      <c r="H104" s="143"/>
      <c r="I104" s="144"/>
      <c r="J104" s="144"/>
      <c r="K104" s="145"/>
      <c r="L104" s="146"/>
      <c r="M104" s="147"/>
      <c r="N104" s="146"/>
      <c r="O104" s="144"/>
      <c r="P104" s="144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</row>
    <row r="105" ht="13.5" customHeight="1">
      <c r="A105" s="142"/>
      <c r="B105" s="142"/>
      <c r="C105" s="142"/>
      <c r="D105" s="142"/>
      <c r="E105" s="142"/>
      <c r="F105" s="142"/>
      <c r="G105" s="143"/>
      <c r="H105" s="143"/>
      <c r="I105" s="144"/>
      <c r="J105" s="144"/>
      <c r="K105" s="145"/>
      <c r="L105" s="146"/>
      <c r="M105" s="147"/>
      <c r="N105" s="146"/>
      <c r="O105" s="144"/>
      <c r="P105" s="144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</row>
    <row r="106" ht="13.5" customHeight="1">
      <c r="A106" s="142"/>
      <c r="B106" s="142"/>
      <c r="C106" s="142"/>
      <c r="D106" s="142"/>
      <c r="E106" s="142"/>
      <c r="F106" s="142"/>
      <c r="G106" s="143"/>
      <c r="H106" s="143"/>
      <c r="I106" s="144"/>
      <c r="J106" s="144"/>
      <c r="K106" s="145"/>
      <c r="L106" s="146"/>
      <c r="M106" s="147"/>
      <c r="N106" s="146"/>
      <c r="O106" s="144"/>
      <c r="P106" s="144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</row>
    <row r="107" ht="13.5" customHeight="1">
      <c r="A107" s="142"/>
      <c r="B107" s="142"/>
      <c r="C107" s="142"/>
      <c r="D107" s="142"/>
      <c r="E107" s="142"/>
      <c r="F107" s="142"/>
      <c r="G107" s="143"/>
      <c r="H107" s="143"/>
      <c r="I107" s="144"/>
      <c r="J107" s="144"/>
      <c r="K107" s="145"/>
      <c r="L107" s="146"/>
      <c r="M107" s="147"/>
      <c r="N107" s="146"/>
      <c r="O107" s="144"/>
      <c r="P107" s="144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</row>
    <row r="108" ht="13.5" customHeight="1">
      <c r="A108" s="142"/>
      <c r="B108" s="142"/>
      <c r="C108" s="142"/>
      <c r="D108" s="142"/>
      <c r="E108" s="142"/>
      <c r="F108" s="142"/>
      <c r="G108" s="143"/>
      <c r="H108" s="143"/>
      <c r="I108" s="144"/>
      <c r="J108" s="144"/>
      <c r="K108" s="145"/>
      <c r="L108" s="146"/>
      <c r="M108" s="147"/>
      <c r="N108" s="146"/>
      <c r="O108" s="144"/>
      <c r="P108" s="144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</row>
    <row r="109" ht="13.5" customHeight="1">
      <c r="A109" s="142"/>
      <c r="B109" s="142"/>
      <c r="C109" s="142"/>
      <c r="D109" s="142"/>
      <c r="E109" s="142"/>
      <c r="F109" s="142"/>
      <c r="G109" s="143"/>
      <c r="H109" s="143"/>
      <c r="I109" s="144"/>
      <c r="J109" s="144"/>
      <c r="K109" s="145"/>
      <c r="L109" s="146"/>
      <c r="M109" s="147"/>
      <c r="N109" s="146"/>
      <c r="O109" s="144"/>
      <c r="P109" s="144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</row>
    <row r="110" ht="13.5" customHeight="1">
      <c r="A110" s="142"/>
      <c r="B110" s="142"/>
      <c r="C110" s="142"/>
      <c r="D110" s="142"/>
      <c r="E110" s="142"/>
      <c r="F110" s="142"/>
      <c r="G110" s="143"/>
      <c r="H110" s="143"/>
      <c r="I110" s="144"/>
      <c r="J110" s="144"/>
      <c r="K110" s="145"/>
      <c r="L110" s="146"/>
      <c r="M110" s="147"/>
      <c r="N110" s="146"/>
      <c r="O110" s="144"/>
      <c r="P110" s="144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</row>
    <row r="111" ht="13.5" customHeight="1">
      <c r="A111" s="142"/>
      <c r="B111" s="142"/>
      <c r="C111" s="142"/>
      <c r="D111" s="142"/>
      <c r="E111" s="142"/>
      <c r="F111" s="142"/>
      <c r="G111" s="143"/>
      <c r="H111" s="143"/>
      <c r="I111" s="144"/>
      <c r="J111" s="144"/>
      <c r="K111" s="145"/>
      <c r="L111" s="146"/>
      <c r="M111" s="147"/>
      <c r="N111" s="146"/>
      <c r="O111" s="144"/>
      <c r="P111" s="144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</row>
    <row r="112" ht="13.5" customHeight="1">
      <c r="A112" s="142"/>
      <c r="B112" s="142"/>
      <c r="C112" s="142"/>
      <c r="D112" s="142"/>
      <c r="E112" s="142"/>
      <c r="F112" s="142"/>
      <c r="G112" s="143"/>
      <c r="H112" s="143"/>
      <c r="I112" s="144"/>
      <c r="J112" s="144"/>
      <c r="K112" s="145"/>
      <c r="L112" s="146"/>
      <c r="M112" s="147"/>
      <c r="N112" s="146"/>
      <c r="O112" s="144"/>
      <c r="P112" s="144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</row>
    <row r="113" ht="13.5" customHeight="1">
      <c r="A113" s="142"/>
      <c r="B113" s="142"/>
      <c r="C113" s="142"/>
      <c r="D113" s="142"/>
      <c r="E113" s="142"/>
      <c r="F113" s="142"/>
      <c r="G113" s="143"/>
      <c r="H113" s="143"/>
      <c r="I113" s="144"/>
      <c r="J113" s="144"/>
      <c r="K113" s="145"/>
      <c r="L113" s="146"/>
      <c r="M113" s="147"/>
      <c r="N113" s="146"/>
      <c r="O113" s="144"/>
      <c r="P113" s="144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</row>
    <row r="114" ht="13.5" customHeight="1">
      <c r="A114" s="142"/>
      <c r="B114" s="142"/>
      <c r="C114" s="142"/>
      <c r="D114" s="142"/>
      <c r="E114" s="142"/>
      <c r="F114" s="142"/>
      <c r="G114" s="143"/>
      <c r="H114" s="143"/>
      <c r="I114" s="144"/>
      <c r="J114" s="144"/>
      <c r="K114" s="145"/>
      <c r="L114" s="146"/>
      <c r="M114" s="147"/>
      <c r="N114" s="146"/>
      <c r="O114" s="144"/>
      <c r="P114" s="144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</row>
    <row r="115" ht="13.5" customHeight="1">
      <c r="A115" s="142"/>
      <c r="B115" s="142"/>
      <c r="C115" s="142"/>
      <c r="D115" s="142"/>
      <c r="E115" s="142"/>
      <c r="F115" s="142"/>
      <c r="G115" s="143"/>
      <c r="H115" s="143"/>
      <c r="I115" s="144"/>
      <c r="J115" s="144"/>
      <c r="K115" s="145"/>
      <c r="L115" s="146"/>
      <c r="M115" s="147"/>
      <c r="N115" s="146"/>
      <c r="O115" s="144"/>
      <c r="P115" s="144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</row>
    <row r="116" ht="13.5" customHeight="1">
      <c r="A116" s="142"/>
      <c r="B116" s="142"/>
      <c r="C116" s="142"/>
      <c r="D116" s="142"/>
      <c r="E116" s="142"/>
      <c r="F116" s="142"/>
      <c r="G116" s="143"/>
      <c r="H116" s="143"/>
      <c r="I116" s="144"/>
      <c r="J116" s="144"/>
      <c r="K116" s="145"/>
      <c r="L116" s="146"/>
      <c r="M116" s="147"/>
      <c r="N116" s="146"/>
      <c r="O116" s="144"/>
      <c r="P116" s="144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</row>
    <row r="117" ht="13.5" customHeight="1">
      <c r="A117" s="142"/>
      <c r="B117" s="142"/>
      <c r="C117" s="142"/>
      <c r="D117" s="142"/>
      <c r="E117" s="142"/>
      <c r="F117" s="142"/>
      <c r="G117" s="143"/>
      <c r="H117" s="143"/>
      <c r="I117" s="144"/>
      <c r="J117" s="144"/>
      <c r="K117" s="145"/>
      <c r="L117" s="146"/>
      <c r="M117" s="147"/>
      <c r="N117" s="146"/>
      <c r="O117" s="144"/>
      <c r="P117" s="144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</row>
    <row r="118" ht="13.5" customHeight="1">
      <c r="A118" s="142"/>
      <c r="B118" s="142"/>
      <c r="C118" s="142"/>
      <c r="D118" s="142"/>
      <c r="E118" s="142"/>
      <c r="F118" s="142"/>
      <c r="G118" s="143"/>
      <c r="H118" s="143"/>
      <c r="I118" s="144"/>
      <c r="J118" s="144"/>
      <c r="K118" s="145"/>
      <c r="L118" s="146"/>
      <c r="M118" s="147"/>
      <c r="N118" s="146"/>
      <c r="O118" s="144"/>
      <c r="P118" s="144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</row>
    <row r="119" ht="13.5" customHeight="1">
      <c r="A119" s="142"/>
      <c r="B119" s="142"/>
      <c r="C119" s="142"/>
      <c r="D119" s="142"/>
      <c r="E119" s="142"/>
      <c r="F119" s="142"/>
      <c r="G119" s="143"/>
      <c r="H119" s="143"/>
      <c r="I119" s="144"/>
      <c r="J119" s="144"/>
      <c r="K119" s="145"/>
      <c r="L119" s="146"/>
      <c r="M119" s="147"/>
      <c r="N119" s="146"/>
      <c r="O119" s="144"/>
      <c r="P119" s="144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</row>
    <row r="120" ht="13.5" customHeight="1">
      <c r="A120" s="142"/>
      <c r="B120" s="142"/>
      <c r="C120" s="142"/>
      <c r="D120" s="142"/>
      <c r="E120" s="142"/>
      <c r="F120" s="142"/>
      <c r="G120" s="143"/>
      <c r="H120" s="143"/>
      <c r="I120" s="144"/>
      <c r="J120" s="144"/>
      <c r="K120" s="145"/>
      <c r="L120" s="146"/>
      <c r="M120" s="147"/>
      <c r="N120" s="146"/>
      <c r="O120" s="144"/>
      <c r="P120" s="144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</row>
    <row r="121" ht="13.5" customHeight="1">
      <c r="A121" s="142"/>
      <c r="B121" s="142"/>
      <c r="C121" s="142"/>
      <c r="D121" s="142"/>
      <c r="E121" s="142"/>
      <c r="F121" s="142"/>
      <c r="G121" s="143"/>
      <c r="H121" s="143"/>
      <c r="I121" s="144"/>
      <c r="J121" s="144"/>
      <c r="K121" s="145"/>
      <c r="L121" s="146"/>
      <c r="M121" s="147"/>
      <c r="N121" s="146"/>
      <c r="O121" s="144"/>
      <c r="P121" s="144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</row>
    <row r="122" ht="13.5" customHeight="1">
      <c r="A122" s="142"/>
      <c r="B122" s="142"/>
      <c r="C122" s="142"/>
      <c r="D122" s="142"/>
      <c r="E122" s="142"/>
      <c r="F122" s="142"/>
      <c r="G122" s="143"/>
      <c r="H122" s="143"/>
      <c r="I122" s="144"/>
      <c r="J122" s="144"/>
      <c r="K122" s="145"/>
      <c r="L122" s="146"/>
      <c r="M122" s="147"/>
      <c r="N122" s="146"/>
      <c r="O122" s="144"/>
      <c r="P122" s="144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</row>
    <row r="123" ht="13.5" customHeight="1">
      <c r="A123" s="142"/>
      <c r="B123" s="142"/>
      <c r="C123" s="142"/>
      <c r="D123" s="142"/>
      <c r="E123" s="142"/>
      <c r="F123" s="142"/>
      <c r="G123" s="143"/>
      <c r="H123" s="143"/>
      <c r="I123" s="144"/>
      <c r="J123" s="144"/>
      <c r="K123" s="145"/>
      <c r="L123" s="146"/>
      <c r="M123" s="147"/>
      <c r="N123" s="146"/>
      <c r="O123" s="144"/>
      <c r="P123" s="144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</row>
    <row r="124" ht="13.5" customHeight="1">
      <c r="A124" s="142"/>
      <c r="B124" s="142"/>
      <c r="C124" s="142"/>
      <c r="D124" s="142"/>
      <c r="E124" s="142"/>
      <c r="F124" s="142"/>
      <c r="G124" s="143"/>
      <c r="H124" s="143"/>
      <c r="I124" s="144"/>
      <c r="J124" s="144"/>
      <c r="K124" s="145"/>
      <c r="L124" s="146"/>
      <c r="M124" s="147"/>
      <c r="N124" s="146"/>
      <c r="O124" s="144"/>
      <c r="P124" s="144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</row>
    <row r="125" ht="13.5" customHeight="1">
      <c r="A125" s="142"/>
      <c r="B125" s="142"/>
      <c r="C125" s="142"/>
      <c r="D125" s="142"/>
      <c r="E125" s="142"/>
      <c r="F125" s="142"/>
      <c r="G125" s="143"/>
      <c r="H125" s="143"/>
      <c r="I125" s="144"/>
      <c r="J125" s="144"/>
      <c r="K125" s="145"/>
      <c r="L125" s="146"/>
      <c r="M125" s="147"/>
      <c r="N125" s="146"/>
      <c r="O125" s="144"/>
      <c r="P125" s="144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</row>
    <row r="126" ht="13.5" customHeight="1">
      <c r="A126" s="142"/>
      <c r="B126" s="142"/>
      <c r="C126" s="142"/>
      <c r="D126" s="142"/>
      <c r="E126" s="142"/>
      <c r="F126" s="142"/>
      <c r="G126" s="143"/>
      <c r="H126" s="143"/>
      <c r="I126" s="144"/>
      <c r="J126" s="144"/>
      <c r="K126" s="145"/>
      <c r="L126" s="146"/>
      <c r="M126" s="147"/>
      <c r="N126" s="146"/>
      <c r="O126" s="144"/>
      <c r="P126" s="144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</row>
    <row r="127" ht="13.5" customHeight="1">
      <c r="A127" s="142"/>
      <c r="B127" s="142"/>
      <c r="C127" s="142"/>
      <c r="D127" s="142"/>
      <c r="E127" s="142"/>
      <c r="F127" s="142"/>
      <c r="G127" s="143"/>
      <c r="H127" s="143"/>
      <c r="I127" s="144"/>
      <c r="J127" s="144"/>
      <c r="K127" s="145"/>
      <c r="L127" s="146"/>
      <c r="M127" s="147"/>
      <c r="N127" s="146"/>
      <c r="O127" s="144"/>
      <c r="P127" s="144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</row>
    <row r="128" ht="13.5" customHeight="1">
      <c r="A128" s="142"/>
      <c r="B128" s="142"/>
      <c r="C128" s="142"/>
      <c r="D128" s="142"/>
      <c r="E128" s="142"/>
      <c r="F128" s="142"/>
      <c r="G128" s="143"/>
      <c r="H128" s="143"/>
      <c r="I128" s="144"/>
      <c r="J128" s="144"/>
      <c r="K128" s="145"/>
      <c r="L128" s="146"/>
      <c r="M128" s="147"/>
      <c r="N128" s="146"/>
      <c r="O128" s="144"/>
      <c r="P128" s="144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</row>
    <row r="129" ht="13.5" customHeight="1">
      <c r="A129" s="142"/>
      <c r="B129" s="142"/>
      <c r="C129" s="142"/>
      <c r="D129" s="142"/>
      <c r="E129" s="142"/>
      <c r="F129" s="142"/>
      <c r="G129" s="143"/>
      <c r="H129" s="143"/>
      <c r="I129" s="144"/>
      <c r="J129" s="144"/>
      <c r="K129" s="145"/>
      <c r="L129" s="146"/>
      <c r="M129" s="147"/>
      <c r="N129" s="146"/>
      <c r="O129" s="144"/>
      <c r="P129" s="144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</row>
    <row r="130" ht="13.5" customHeight="1">
      <c r="A130" s="142"/>
      <c r="B130" s="142"/>
      <c r="C130" s="142"/>
      <c r="D130" s="142"/>
      <c r="E130" s="142"/>
      <c r="F130" s="142"/>
      <c r="G130" s="143"/>
      <c r="H130" s="143"/>
      <c r="I130" s="144"/>
      <c r="J130" s="144"/>
      <c r="K130" s="145"/>
      <c r="L130" s="146"/>
      <c r="M130" s="147"/>
      <c r="N130" s="146"/>
      <c r="O130" s="144"/>
      <c r="P130" s="144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</row>
    <row r="131" ht="13.5" customHeight="1">
      <c r="A131" s="142"/>
      <c r="B131" s="142"/>
      <c r="C131" s="142"/>
      <c r="D131" s="142"/>
      <c r="E131" s="142"/>
      <c r="F131" s="142"/>
      <c r="G131" s="143"/>
      <c r="H131" s="143"/>
      <c r="I131" s="144"/>
      <c r="J131" s="144"/>
      <c r="K131" s="145"/>
      <c r="L131" s="146"/>
      <c r="M131" s="147"/>
      <c r="N131" s="146"/>
      <c r="O131" s="144"/>
      <c r="P131" s="144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</row>
    <row r="132" ht="13.5" customHeight="1">
      <c r="A132" s="142"/>
      <c r="B132" s="142"/>
      <c r="C132" s="142"/>
      <c r="D132" s="142"/>
      <c r="E132" s="142"/>
      <c r="F132" s="142"/>
      <c r="G132" s="143"/>
      <c r="H132" s="143"/>
      <c r="I132" s="144"/>
      <c r="J132" s="144"/>
      <c r="K132" s="145"/>
      <c r="L132" s="146"/>
      <c r="M132" s="147"/>
      <c r="N132" s="146"/>
      <c r="O132" s="144"/>
      <c r="P132" s="144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</row>
    <row r="133" ht="13.5" customHeight="1">
      <c r="A133" s="142"/>
      <c r="B133" s="142"/>
      <c r="C133" s="142"/>
      <c r="D133" s="142"/>
      <c r="E133" s="142"/>
      <c r="F133" s="142"/>
      <c r="G133" s="143"/>
      <c r="H133" s="143"/>
      <c r="I133" s="144"/>
      <c r="J133" s="144"/>
      <c r="K133" s="145"/>
      <c r="L133" s="146"/>
      <c r="M133" s="147"/>
      <c r="N133" s="146"/>
      <c r="O133" s="144"/>
      <c r="P133" s="144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</row>
    <row r="134" ht="13.5" customHeight="1">
      <c r="A134" s="142"/>
      <c r="B134" s="142"/>
      <c r="C134" s="142"/>
      <c r="D134" s="142"/>
      <c r="E134" s="142"/>
      <c r="F134" s="142"/>
      <c r="G134" s="143"/>
      <c r="H134" s="143"/>
      <c r="I134" s="144"/>
      <c r="J134" s="144"/>
      <c r="K134" s="145"/>
      <c r="L134" s="146"/>
      <c r="M134" s="147"/>
      <c r="N134" s="146"/>
      <c r="O134" s="144"/>
      <c r="P134" s="144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</row>
    <row r="135" ht="13.5" customHeight="1">
      <c r="A135" s="142"/>
      <c r="B135" s="142"/>
      <c r="C135" s="142"/>
      <c r="D135" s="142"/>
      <c r="E135" s="142"/>
      <c r="F135" s="142"/>
      <c r="G135" s="143"/>
      <c r="H135" s="143"/>
      <c r="I135" s="144"/>
      <c r="J135" s="144"/>
      <c r="K135" s="145"/>
      <c r="L135" s="146"/>
      <c r="M135" s="147"/>
      <c r="N135" s="146"/>
      <c r="O135" s="144"/>
      <c r="P135" s="144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</row>
    <row r="136" ht="13.5" customHeight="1">
      <c r="A136" s="142"/>
      <c r="B136" s="142"/>
      <c r="C136" s="142"/>
      <c r="D136" s="142"/>
      <c r="E136" s="142"/>
      <c r="F136" s="142"/>
      <c r="G136" s="143"/>
      <c r="H136" s="143"/>
      <c r="I136" s="144"/>
      <c r="J136" s="144"/>
      <c r="K136" s="145"/>
      <c r="L136" s="146"/>
      <c r="M136" s="147"/>
      <c r="N136" s="146"/>
      <c r="O136" s="144"/>
      <c r="P136" s="144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</row>
    <row r="137" ht="13.5" customHeight="1">
      <c r="A137" s="142"/>
      <c r="B137" s="142"/>
      <c r="C137" s="142"/>
      <c r="D137" s="142"/>
      <c r="E137" s="142"/>
      <c r="F137" s="142"/>
      <c r="G137" s="143"/>
      <c r="H137" s="143"/>
      <c r="I137" s="144"/>
      <c r="J137" s="144"/>
      <c r="K137" s="145"/>
      <c r="L137" s="146"/>
      <c r="M137" s="147"/>
      <c r="N137" s="146"/>
      <c r="O137" s="144"/>
      <c r="P137" s="144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</row>
    <row r="138" ht="13.5" customHeight="1">
      <c r="A138" s="142"/>
      <c r="B138" s="142"/>
      <c r="C138" s="142"/>
      <c r="D138" s="142"/>
      <c r="E138" s="142"/>
      <c r="F138" s="142"/>
      <c r="G138" s="143"/>
      <c r="H138" s="143"/>
      <c r="I138" s="144"/>
      <c r="J138" s="144"/>
      <c r="K138" s="145"/>
      <c r="L138" s="146"/>
      <c r="M138" s="147"/>
      <c r="N138" s="146"/>
      <c r="O138" s="144"/>
      <c r="P138" s="144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</row>
    <row r="139" ht="13.5" customHeight="1">
      <c r="A139" s="142"/>
      <c r="B139" s="142"/>
      <c r="C139" s="142"/>
      <c r="D139" s="142"/>
      <c r="E139" s="142"/>
      <c r="F139" s="142"/>
      <c r="G139" s="143"/>
      <c r="H139" s="143"/>
      <c r="I139" s="144"/>
      <c r="J139" s="144"/>
      <c r="K139" s="145"/>
      <c r="L139" s="146"/>
      <c r="M139" s="147"/>
      <c r="N139" s="146"/>
      <c r="O139" s="144"/>
      <c r="P139" s="144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</row>
    <row r="140" ht="13.5" customHeight="1">
      <c r="A140" s="142"/>
      <c r="B140" s="142"/>
      <c r="C140" s="142"/>
      <c r="D140" s="142"/>
      <c r="E140" s="142"/>
      <c r="F140" s="142"/>
      <c r="G140" s="143"/>
      <c r="H140" s="143"/>
      <c r="I140" s="144"/>
      <c r="J140" s="144"/>
      <c r="K140" s="145"/>
      <c r="L140" s="146"/>
      <c r="M140" s="147"/>
      <c r="N140" s="146"/>
      <c r="O140" s="144"/>
      <c r="P140" s="144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</row>
    <row r="141" ht="13.5" customHeight="1">
      <c r="A141" s="142"/>
      <c r="B141" s="142"/>
      <c r="C141" s="142"/>
      <c r="D141" s="142"/>
      <c r="E141" s="142"/>
      <c r="F141" s="142"/>
      <c r="G141" s="143"/>
      <c r="H141" s="143"/>
      <c r="I141" s="144"/>
      <c r="J141" s="144"/>
      <c r="K141" s="145"/>
      <c r="L141" s="146"/>
      <c r="M141" s="147"/>
      <c r="N141" s="146"/>
      <c r="O141" s="144"/>
      <c r="P141" s="144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</row>
    <row r="142" ht="13.5" customHeight="1">
      <c r="A142" s="142"/>
      <c r="B142" s="142"/>
      <c r="C142" s="142"/>
      <c r="D142" s="142"/>
      <c r="E142" s="142"/>
      <c r="F142" s="142"/>
      <c r="G142" s="143"/>
      <c r="H142" s="143"/>
      <c r="I142" s="144"/>
      <c r="J142" s="144"/>
      <c r="K142" s="145"/>
      <c r="L142" s="146"/>
      <c r="M142" s="147"/>
      <c r="N142" s="146"/>
      <c r="O142" s="144"/>
      <c r="P142" s="144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</row>
    <row r="143" ht="13.5" customHeight="1">
      <c r="A143" s="142"/>
      <c r="B143" s="142"/>
      <c r="C143" s="142"/>
      <c r="D143" s="142"/>
      <c r="E143" s="142"/>
      <c r="F143" s="142"/>
      <c r="G143" s="143"/>
      <c r="H143" s="143"/>
      <c r="I143" s="144"/>
      <c r="J143" s="144"/>
      <c r="K143" s="145"/>
      <c r="L143" s="146"/>
      <c r="M143" s="147"/>
      <c r="N143" s="146"/>
      <c r="O143" s="144"/>
      <c r="P143" s="144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</row>
    <row r="144" ht="13.5" customHeight="1">
      <c r="A144" s="142"/>
      <c r="B144" s="142"/>
      <c r="C144" s="142"/>
      <c r="D144" s="142"/>
      <c r="E144" s="142"/>
      <c r="F144" s="142"/>
      <c r="G144" s="143"/>
      <c r="H144" s="143"/>
      <c r="I144" s="144"/>
      <c r="J144" s="144"/>
      <c r="K144" s="145"/>
      <c r="L144" s="146"/>
      <c r="M144" s="147"/>
      <c r="N144" s="146"/>
      <c r="O144" s="144"/>
      <c r="P144" s="144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</row>
    <row r="145" ht="13.5" customHeight="1">
      <c r="A145" s="142"/>
      <c r="B145" s="142"/>
      <c r="C145" s="142"/>
      <c r="D145" s="142"/>
      <c r="E145" s="142"/>
      <c r="F145" s="142"/>
      <c r="G145" s="143"/>
      <c r="H145" s="143"/>
      <c r="I145" s="144"/>
      <c r="J145" s="144"/>
      <c r="K145" s="145"/>
      <c r="L145" s="146"/>
      <c r="M145" s="147"/>
      <c r="N145" s="146"/>
      <c r="O145" s="144"/>
      <c r="P145" s="144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</row>
    <row r="146" ht="13.5" customHeight="1">
      <c r="A146" s="142"/>
      <c r="B146" s="142"/>
      <c r="C146" s="142"/>
      <c r="D146" s="142"/>
      <c r="E146" s="142"/>
      <c r="F146" s="142"/>
      <c r="G146" s="143"/>
      <c r="H146" s="143"/>
      <c r="I146" s="144"/>
      <c r="J146" s="144"/>
      <c r="K146" s="145"/>
      <c r="L146" s="146"/>
      <c r="M146" s="147"/>
      <c r="N146" s="146"/>
      <c r="O146" s="144"/>
      <c r="P146" s="144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</row>
    <row r="147" ht="13.5" customHeight="1">
      <c r="A147" s="142"/>
      <c r="B147" s="142"/>
      <c r="C147" s="142"/>
      <c r="D147" s="142"/>
      <c r="E147" s="142"/>
      <c r="F147" s="142"/>
      <c r="G147" s="143"/>
      <c r="H147" s="143"/>
      <c r="I147" s="144"/>
      <c r="J147" s="144"/>
      <c r="K147" s="145"/>
      <c r="L147" s="146"/>
      <c r="M147" s="147"/>
      <c r="N147" s="146"/>
      <c r="O147" s="144"/>
      <c r="P147" s="144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</row>
    <row r="148" ht="13.5" customHeight="1">
      <c r="A148" s="142"/>
      <c r="B148" s="142"/>
      <c r="C148" s="142"/>
      <c r="D148" s="142"/>
      <c r="E148" s="142"/>
      <c r="F148" s="142"/>
      <c r="G148" s="143"/>
      <c r="H148" s="143"/>
      <c r="I148" s="144"/>
      <c r="J148" s="144"/>
      <c r="K148" s="145"/>
      <c r="L148" s="146"/>
      <c r="M148" s="147"/>
      <c r="N148" s="146"/>
      <c r="O148" s="144"/>
      <c r="P148" s="144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</row>
    <row r="149" ht="13.5" customHeight="1">
      <c r="A149" s="142"/>
      <c r="B149" s="142"/>
      <c r="C149" s="142"/>
      <c r="D149" s="142"/>
      <c r="E149" s="142"/>
      <c r="F149" s="142"/>
      <c r="G149" s="143"/>
      <c r="H149" s="143"/>
      <c r="I149" s="144"/>
      <c r="J149" s="144"/>
      <c r="K149" s="145"/>
      <c r="L149" s="146"/>
      <c r="M149" s="147"/>
      <c r="N149" s="146"/>
      <c r="O149" s="144"/>
      <c r="P149" s="144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</row>
    <row r="150" ht="13.5" customHeight="1">
      <c r="A150" s="142"/>
      <c r="B150" s="142"/>
      <c r="C150" s="142"/>
      <c r="D150" s="142"/>
      <c r="E150" s="142"/>
      <c r="F150" s="142"/>
      <c r="G150" s="143"/>
      <c r="H150" s="143"/>
      <c r="I150" s="144"/>
      <c r="J150" s="144"/>
      <c r="K150" s="145"/>
      <c r="L150" s="146"/>
      <c r="M150" s="147"/>
      <c r="N150" s="146"/>
      <c r="O150" s="144"/>
      <c r="P150" s="144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</row>
    <row r="151" ht="13.5" customHeight="1">
      <c r="A151" s="142"/>
      <c r="B151" s="142"/>
      <c r="C151" s="142"/>
      <c r="D151" s="142"/>
      <c r="E151" s="142"/>
      <c r="F151" s="142"/>
      <c r="G151" s="143"/>
      <c r="H151" s="143"/>
      <c r="I151" s="144"/>
      <c r="J151" s="144"/>
      <c r="K151" s="145"/>
      <c r="L151" s="146"/>
      <c r="M151" s="147"/>
      <c r="N151" s="146"/>
      <c r="O151" s="144"/>
      <c r="P151" s="144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</row>
    <row r="152" ht="13.5" customHeight="1">
      <c r="A152" s="142"/>
      <c r="B152" s="142"/>
      <c r="C152" s="142"/>
      <c r="D152" s="142"/>
      <c r="E152" s="142"/>
      <c r="F152" s="142"/>
      <c r="G152" s="143"/>
      <c r="H152" s="143"/>
      <c r="I152" s="144"/>
      <c r="J152" s="144"/>
      <c r="K152" s="145"/>
      <c r="L152" s="146"/>
      <c r="M152" s="147"/>
      <c r="N152" s="146"/>
      <c r="O152" s="144"/>
      <c r="P152" s="144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</row>
    <row r="153" ht="13.5" customHeight="1">
      <c r="A153" s="142"/>
      <c r="B153" s="142"/>
      <c r="C153" s="142"/>
      <c r="D153" s="142"/>
      <c r="E153" s="142"/>
      <c r="F153" s="142"/>
      <c r="G153" s="143"/>
      <c r="H153" s="143"/>
      <c r="I153" s="144"/>
      <c r="J153" s="144"/>
      <c r="K153" s="145"/>
      <c r="L153" s="146"/>
      <c r="M153" s="147"/>
      <c r="N153" s="146"/>
      <c r="O153" s="144"/>
      <c r="P153" s="144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2"/>
    </row>
    <row r="154" ht="13.5" customHeight="1">
      <c r="A154" s="142"/>
      <c r="B154" s="142"/>
      <c r="C154" s="142"/>
      <c r="D154" s="142"/>
      <c r="E154" s="142"/>
      <c r="F154" s="142"/>
      <c r="G154" s="143"/>
      <c r="H154" s="143"/>
      <c r="I154" s="144"/>
      <c r="J154" s="144"/>
      <c r="K154" s="145"/>
      <c r="L154" s="146"/>
      <c r="M154" s="147"/>
      <c r="N154" s="146"/>
      <c r="O154" s="144"/>
      <c r="P154" s="144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2"/>
    </row>
    <row r="155" ht="13.5" customHeight="1">
      <c r="A155" s="142"/>
      <c r="B155" s="142"/>
      <c r="C155" s="142"/>
      <c r="D155" s="142"/>
      <c r="E155" s="142"/>
      <c r="F155" s="142"/>
      <c r="G155" s="143"/>
      <c r="H155" s="143"/>
      <c r="I155" s="144"/>
      <c r="J155" s="144"/>
      <c r="K155" s="145"/>
      <c r="L155" s="146"/>
      <c r="M155" s="147"/>
      <c r="N155" s="146"/>
      <c r="O155" s="144"/>
      <c r="P155" s="144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</row>
    <row r="156" ht="13.5" customHeight="1">
      <c r="A156" s="142"/>
      <c r="B156" s="142"/>
      <c r="C156" s="142"/>
      <c r="D156" s="142"/>
      <c r="E156" s="142"/>
      <c r="F156" s="142"/>
      <c r="G156" s="143"/>
      <c r="H156" s="143"/>
      <c r="I156" s="144"/>
      <c r="J156" s="144"/>
      <c r="K156" s="145"/>
      <c r="L156" s="146"/>
      <c r="M156" s="147"/>
      <c r="N156" s="146"/>
      <c r="O156" s="144"/>
      <c r="P156" s="144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</row>
    <row r="157" ht="13.5" customHeight="1">
      <c r="A157" s="142"/>
      <c r="B157" s="142"/>
      <c r="C157" s="142"/>
      <c r="D157" s="142"/>
      <c r="E157" s="142"/>
      <c r="F157" s="142"/>
      <c r="G157" s="143"/>
      <c r="H157" s="143"/>
      <c r="I157" s="144"/>
      <c r="J157" s="144"/>
      <c r="K157" s="145"/>
      <c r="L157" s="146"/>
      <c r="M157" s="147"/>
      <c r="N157" s="146"/>
      <c r="O157" s="144"/>
      <c r="P157" s="144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</row>
    <row r="158" ht="13.5" customHeight="1">
      <c r="A158" s="142"/>
      <c r="B158" s="142"/>
      <c r="C158" s="142"/>
      <c r="D158" s="142"/>
      <c r="E158" s="142"/>
      <c r="F158" s="142"/>
      <c r="G158" s="143"/>
      <c r="H158" s="143"/>
      <c r="I158" s="144"/>
      <c r="J158" s="144"/>
      <c r="K158" s="145"/>
      <c r="L158" s="146"/>
      <c r="M158" s="147"/>
      <c r="N158" s="146"/>
      <c r="O158" s="144"/>
      <c r="P158" s="144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</row>
    <row r="159" ht="13.5" customHeight="1">
      <c r="A159" s="142"/>
      <c r="B159" s="142"/>
      <c r="C159" s="142"/>
      <c r="D159" s="142"/>
      <c r="E159" s="142"/>
      <c r="F159" s="142"/>
      <c r="G159" s="143"/>
      <c r="H159" s="143"/>
      <c r="I159" s="144"/>
      <c r="J159" s="144"/>
      <c r="K159" s="145"/>
      <c r="L159" s="146"/>
      <c r="M159" s="147"/>
      <c r="N159" s="146"/>
      <c r="O159" s="144"/>
      <c r="P159" s="144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</row>
    <row r="160" ht="13.5" customHeight="1">
      <c r="A160" s="142"/>
      <c r="B160" s="142"/>
      <c r="C160" s="142"/>
      <c r="D160" s="142"/>
      <c r="E160" s="142"/>
      <c r="F160" s="142"/>
      <c r="G160" s="143"/>
      <c r="H160" s="143"/>
      <c r="I160" s="144"/>
      <c r="J160" s="144"/>
      <c r="K160" s="145"/>
      <c r="L160" s="146"/>
      <c r="M160" s="147"/>
      <c r="N160" s="146"/>
      <c r="O160" s="144"/>
      <c r="P160" s="144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</row>
    <row r="161" ht="13.5" customHeight="1">
      <c r="A161" s="142"/>
      <c r="B161" s="142"/>
      <c r="C161" s="142"/>
      <c r="D161" s="142"/>
      <c r="E161" s="142"/>
      <c r="F161" s="142"/>
      <c r="G161" s="143"/>
      <c r="H161" s="143"/>
      <c r="I161" s="144"/>
      <c r="J161" s="144"/>
      <c r="K161" s="145"/>
      <c r="L161" s="146"/>
      <c r="M161" s="147"/>
      <c r="N161" s="146"/>
      <c r="O161" s="144"/>
      <c r="P161" s="144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</row>
    <row r="162" ht="13.5" customHeight="1">
      <c r="A162" s="142"/>
      <c r="B162" s="142"/>
      <c r="C162" s="142"/>
      <c r="D162" s="142"/>
      <c r="E162" s="142"/>
      <c r="F162" s="142"/>
      <c r="G162" s="143"/>
      <c r="H162" s="143"/>
      <c r="I162" s="144"/>
      <c r="J162" s="144"/>
      <c r="K162" s="145"/>
      <c r="L162" s="146"/>
      <c r="M162" s="147"/>
      <c r="N162" s="146"/>
      <c r="O162" s="144"/>
      <c r="P162" s="144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</row>
    <row r="163" ht="13.5" customHeight="1">
      <c r="A163" s="142"/>
      <c r="B163" s="142"/>
      <c r="C163" s="142"/>
      <c r="D163" s="142"/>
      <c r="E163" s="142"/>
      <c r="F163" s="142"/>
      <c r="G163" s="143"/>
      <c r="H163" s="143"/>
      <c r="I163" s="144"/>
      <c r="J163" s="144"/>
      <c r="K163" s="145"/>
      <c r="L163" s="146"/>
      <c r="M163" s="147"/>
      <c r="N163" s="146"/>
      <c r="O163" s="144"/>
      <c r="P163" s="144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</row>
    <row r="164" ht="13.5" customHeight="1">
      <c r="A164" s="142"/>
      <c r="B164" s="142"/>
      <c r="C164" s="142"/>
      <c r="D164" s="142"/>
      <c r="E164" s="142"/>
      <c r="F164" s="142"/>
      <c r="G164" s="143"/>
      <c r="H164" s="143"/>
      <c r="I164" s="144"/>
      <c r="J164" s="144"/>
      <c r="K164" s="145"/>
      <c r="L164" s="146"/>
      <c r="M164" s="147"/>
      <c r="N164" s="146"/>
      <c r="O164" s="144"/>
      <c r="P164" s="144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</row>
    <row r="165" ht="13.5" customHeight="1">
      <c r="A165" s="142"/>
      <c r="B165" s="142"/>
      <c r="C165" s="142"/>
      <c r="D165" s="142"/>
      <c r="E165" s="142"/>
      <c r="F165" s="142"/>
      <c r="G165" s="143"/>
      <c r="H165" s="143"/>
      <c r="I165" s="144"/>
      <c r="J165" s="144"/>
      <c r="K165" s="145"/>
      <c r="L165" s="146"/>
      <c r="M165" s="147"/>
      <c r="N165" s="146"/>
      <c r="O165" s="144"/>
      <c r="P165" s="144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</row>
    <row r="166" ht="13.5" customHeight="1">
      <c r="A166" s="142"/>
      <c r="B166" s="142"/>
      <c r="C166" s="142"/>
      <c r="D166" s="142"/>
      <c r="E166" s="142"/>
      <c r="F166" s="142"/>
      <c r="G166" s="143"/>
      <c r="H166" s="143"/>
      <c r="I166" s="144"/>
      <c r="J166" s="144"/>
      <c r="K166" s="145"/>
      <c r="L166" s="146"/>
      <c r="M166" s="147"/>
      <c r="N166" s="146"/>
      <c r="O166" s="144"/>
      <c r="P166" s="144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</row>
    <row r="167" ht="13.5" customHeight="1">
      <c r="A167" s="142"/>
      <c r="B167" s="142"/>
      <c r="C167" s="142"/>
      <c r="D167" s="142"/>
      <c r="E167" s="142"/>
      <c r="F167" s="142"/>
      <c r="G167" s="143"/>
      <c r="H167" s="143"/>
      <c r="I167" s="144"/>
      <c r="J167" s="144"/>
      <c r="K167" s="145"/>
      <c r="L167" s="146"/>
      <c r="M167" s="147"/>
      <c r="N167" s="146"/>
      <c r="O167" s="144"/>
      <c r="P167" s="144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</row>
    <row r="168" ht="13.5" customHeight="1">
      <c r="A168" s="142"/>
      <c r="B168" s="142"/>
      <c r="C168" s="142"/>
      <c r="D168" s="142"/>
      <c r="E168" s="142"/>
      <c r="F168" s="142"/>
      <c r="G168" s="143"/>
      <c r="H168" s="143"/>
      <c r="I168" s="144"/>
      <c r="J168" s="144"/>
      <c r="K168" s="145"/>
      <c r="L168" s="146"/>
      <c r="M168" s="147"/>
      <c r="N168" s="146"/>
      <c r="O168" s="144"/>
      <c r="P168" s="144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</row>
    <row r="169" ht="13.5" customHeight="1">
      <c r="A169" s="142"/>
      <c r="B169" s="142"/>
      <c r="C169" s="142"/>
      <c r="D169" s="142"/>
      <c r="E169" s="142"/>
      <c r="F169" s="142"/>
      <c r="G169" s="143"/>
      <c r="H169" s="143"/>
      <c r="I169" s="144"/>
      <c r="J169" s="144"/>
      <c r="K169" s="145"/>
      <c r="L169" s="146"/>
      <c r="M169" s="147"/>
      <c r="N169" s="146"/>
      <c r="O169" s="144"/>
      <c r="P169" s="144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  <c r="AJ169" s="142"/>
    </row>
    <row r="170" ht="13.5" customHeight="1">
      <c r="A170" s="142"/>
      <c r="B170" s="142"/>
      <c r="C170" s="142"/>
      <c r="D170" s="142"/>
      <c r="E170" s="142"/>
      <c r="F170" s="142"/>
      <c r="G170" s="143"/>
      <c r="H170" s="143"/>
      <c r="I170" s="144"/>
      <c r="J170" s="144"/>
      <c r="K170" s="145"/>
      <c r="L170" s="146"/>
      <c r="M170" s="147"/>
      <c r="N170" s="146"/>
      <c r="O170" s="144"/>
      <c r="P170" s="144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  <c r="AJ170" s="142"/>
    </row>
    <row r="171" ht="13.5" customHeight="1">
      <c r="A171" s="142"/>
      <c r="B171" s="142"/>
      <c r="C171" s="142"/>
      <c r="D171" s="142"/>
      <c r="E171" s="142"/>
      <c r="F171" s="142"/>
      <c r="G171" s="143"/>
      <c r="H171" s="143"/>
      <c r="I171" s="144"/>
      <c r="J171" s="144"/>
      <c r="K171" s="145"/>
      <c r="L171" s="146"/>
      <c r="M171" s="147"/>
      <c r="N171" s="146"/>
      <c r="O171" s="144"/>
      <c r="P171" s="144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  <c r="AJ171" s="142"/>
    </row>
    <row r="172" ht="13.5" customHeight="1">
      <c r="A172" s="142"/>
      <c r="B172" s="142"/>
      <c r="C172" s="142"/>
      <c r="D172" s="142"/>
      <c r="E172" s="142"/>
      <c r="F172" s="142"/>
      <c r="G172" s="143"/>
      <c r="H172" s="143"/>
      <c r="I172" s="144"/>
      <c r="J172" s="144"/>
      <c r="K172" s="145"/>
      <c r="L172" s="146"/>
      <c r="M172" s="147"/>
      <c r="N172" s="146"/>
      <c r="O172" s="144"/>
      <c r="P172" s="144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2"/>
    </row>
    <row r="173" ht="13.5" customHeight="1">
      <c r="A173" s="142"/>
      <c r="B173" s="142"/>
      <c r="C173" s="142"/>
      <c r="D173" s="142"/>
      <c r="E173" s="142"/>
      <c r="F173" s="142"/>
      <c r="G173" s="143"/>
      <c r="H173" s="143"/>
      <c r="I173" s="144"/>
      <c r="J173" s="144"/>
      <c r="K173" s="145"/>
      <c r="L173" s="146"/>
      <c r="M173" s="147"/>
      <c r="N173" s="146"/>
      <c r="O173" s="144"/>
      <c r="P173" s="144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2"/>
    </row>
    <row r="174" ht="13.5" customHeight="1">
      <c r="A174" s="142"/>
      <c r="B174" s="142"/>
      <c r="C174" s="142"/>
      <c r="D174" s="142"/>
      <c r="E174" s="142"/>
      <c r="F174" s="142"/>
      <c r="G174" s="143"/>
      <c r="H174" s="143"/>
      <c r="I174" s="144"/>
      <c r="J174" s="144"/>
      <c r="K174" s="145"/>
      <c r="L174" s="146"/>
      <c r="M174" s="147"/>
      <c r="N174" s="146"/>
      <c r="O174" s="144"/>
      <c r="P174" s="144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2"/>
      <c r="AI174" s="142"/>
      <c r="AJ174" s="142"/>
    </row>
    <row r="175" ht="13.5" customHeight="1">
      <c r="A175" s="142"/>
      <c r="B175" s="142"/>
      <c r="C175" s="142"/>
      <c r="D175" s="142"/>
      <c r="E175" s="142"/>
      <c r="F175" s="142"/>
      <c r="G175" s="143"/>
      <c r="H175" s="143"/>
      <c r="I175" s="144"/>
      <c r="J175" s="144"/>
      <c r="K175" s="145"/>
      <c r="L175" s="146"/>
      <c r="M175" s="147"/>
      <c r="N175" s="146"/>
      <c r="O175" s="144"/>
      <c r="P175" s="144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  <c r="AJ175" s="142"/>
    </row>
    <row r="176" ht="13.5" customHeight="1">
      <c r="A176" s="142"/>
      <c r="B176" s="142"/>
      <c r="C176" s="142"/>
      <c r="D176" s="142"/>
      <c r="E176" s="142"/>
      <c r="F176" s="142"/>
      <c r="G176" s="143"/>
      <c r="H176" s="143"/>
      <c r="I176" s="144"/>
      <c r="J176" s="144"/>
      <c r="K176" s="145"/>
      <c r="L176" s="146"/>
      <c r="M176" s="147"/>
      <c r="N176" s="146"/>
      <c r="O176" s="144"/>
      <c r="P176" s="144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</row>
    <row r="177" ht="13.5" customHeight="1">
      <c r="A177" s="142"/>
      <c r="B177" s="142"/>
      <c r="C177" s="142"/>
      <c r="D177" s="142"/>
      <c r="E177" s="142"/>
      <c r="F177" s="142"/>
      <c r="G177" s="143"/>
      <c r="H177" s="143"/>
      <c r="I177" s="144"/>
      <c r="J177" s="144"/>
      <c r="K177" s="145"/>
      <c r="L177" s="146"/>
      <c r="M177" s="147"/>
      <c r="N177" s="146"/>
      <c r="O177" s="144"/>
      <c r="P177" s="144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</row>
    <row r="178" ht="13.5" customHeight="1">
      <c r="A178" s="142"/>
      <c r="B178" s="142"/>
      <c r="C178" s="142"/>
      <c r="D178" s="142"/>
      <c r="E178" s="142"/>
      <c r="F178" s="142"/>
      <c r="G178" s="143"/>
      <c r="H178" s="143"/>
      <c r="I178" s="144"/>
      <c r="J178" s="144"/>
      <c r="K178" s="145"/>
      <c r="L178" s="146"/>
      <c r="M178" s="147"/>
      <c r="N178" s="146"/>
      <c r="O178" s="144"/>
      <c r="P178" s="144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</row>
    <row r="179" ht="13.5" customHeight="1">
      <c r="A179" s="142"/>
      <c r="B179" s="142"/>
      <c r="C179" s="142"/>
      <c r="D179" s="142"/>
      <c r="E179" s="142"/>
      <c r="F179" s="142"/>
      <c r="G179" s="143"/>
      <c r="H179" s="143"/>
      <c r="I179" s="144"/>
      <c r="J179" s="144"/>
      <c r="K179" s="145"/>
      <c r="L179" s="146"/>
      <c r="M179" s="147"/>
      <c r="N179" s="146"/>
      <c r="O179" s="144"/>
      <c r="P179" s="144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</row>
    <row r="180" ht="13.5" customHeight="1">
      <c r="A180" s="142"/>
      <c r="B180" s="142"/>
      <c r="C180" s="142"/>
      <c r="D180" s="142"/>
      <c r="E180" s="142"/>
      <c r="F180" s="142"/>
      <c r="G180" s="143"/>
      <c r="H180" s="143"/>
      <c r="I180" s="144"/>
      <c r="J180" s="144"/>
      <c r="K180" s="145"/>
      <c r="L180" s="146"/>
      <c r="M180" s="147"/>
      <c r="N180" s="146"/>
      <c r="O180" s="144"/>
      <c r="P180" s="144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</row>
    <row r="181" ht="13.5" customHeight="1">
      <c r="A181" s="142"/>
      <c r="B181" s="142"/>
      <c r="C181" s="142"/>
      <c r="D181" s="142"/>
      <c r="E181" s="142"/>
      <c r="F181" s="142"/>
      <c r="G181" s="143"/>
      <c r="H181" s="143"/>
      <c r="I181" s="144"/>
      <c r="J181" s="144"/>
      <c r="K181" s="145"/>
      <c r="L181" s="146"/>
      <c r="M181" s="147"/>
      <c r="N181" s="146"/>
      <c r="O181" s="144"/>
      <c r="P181" s="144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</row>
    <row r="182" ht="13.5" customHeight="1">
      <c r="A182" s="142"/>
      <c r="B182" s="142"/>
      <c r="C182" s="142"/>
      <c r="D182" s="142"/>
      <c r="E182" s="142"/>
      <c r="F182" s="142"/>
      <c r="G182" s="143"/>
      <c r="H182" s="143"/>
      <c r="I182" s="144"/>
      <c r="J182" s="144"/>
      <c r="K182" s="145"/>
      <c r="L182" s="146"/>
      <c r="M182" s="147"/>
      <c r="N182" s="146"/>
      <c r="O182" s="144"/>
      <c r="P182" s="144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</row>
    <row r="183" ht="13.5" customHeight="1">
      <c r="A183" s="142"/>
      <c r="B183" s="142"/>
      <c r="C183" s="142"/>
      <c r="D183" s="142"/>
      <c r="E183" s="142"/>
      <c r="F183" s="142"/>
      <c r="G183" s="143"/>
      <c r="H183" s="143"/>
      <c r="I183" s="144"/>
      <c r="J183" s="144"/>
      <c r="K183" s="145"/>
      <c r="L183" s="146"/>
      <c r="M183" s="147"/>
      <c r="N183" s="146"/>
      <c r="O183" s="144"/>
      <c r="P183" s="144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</row>
    <row r="184" ht="13.5" customHeight="1">
      <c r="A184" s="142"/>
      <c r="B184" s="142"/>
      <c r="C184" s="142"/>
      <c r="D184" s="142"/>
      <c r="E184" s="142"/>
      <c r="F184" s="142"/>
      <c r="G184" s="143"/>
      <c r="H184" s="143"/>
      <c r="I184" s="144"/>
      <c r="J184" s="144"/>
      <c r="K184" s="145"/>
      <c r="L184" s="146"/>
      <c r="M184" s="147"/>
      <c r="N184" s="146"/>
      <c r="O184" s="144"/>
      <c r="P184" s="144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</row>
    <row r="185" ht="13.5" customHeight="1">
      <c r="A185" s="142"/>
      <c r="B185" s="142"/>
      <c r="C185" s="142"/>
      <c r="D185" s="142"/>
      <c r="E185" s="142"/>
      <c r="F185" s="142"/>
      <c r="G185" s="143"/>
      <c r="H185" s="143"/>
      <c r="I185" s="144"/>
      <c r="J185" s="144"/>
      <c r="K185" s="145"/>
      <c r="L185" s="146"/>
      <c r="M185" s="147"/>
      <c r="N185" s="146"/>
      <c r="O185" s="144"/>
      <c r="P185" s="144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</row>
    <row r="186" ht="13.5" customHeight="1">
      <c r="A186" s="142"/>
      <c r="B186" s="142"/>
      <c r="C186" s="142"/>
      <c r="D186" s="142"/>
      <c r="E186" s="142"/>
      <c r="F186" s="142"/>
      <c r="G186" s="143"/>
      <c r="H186" s="143"/>
      <c r="I186" s="144"/>
      <c r="J186" s="144"/>
      <c r="K186" s="145"/>
      <c r="L186" s="146"/>
      <c r="M186" s="147"/>
      <c r="N186" s="146"/>
      <c r="O186" s="144"/>
      <c r="P186" s="144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</row>
    <row r="187" ht="13.5" customHeight="1">
      <c r="A187" s="142"/>
      <c r="B187" s="142"/>
      <c r="C187" s="142"/>
      <c r="D187" s="142"/>
      <c r="E187" s="142"/>
      <c r="F187" s="142"/>
      <c r="G187" s="143"/>
      <c r="H187" s="143"/>
      <c r="I187" s="144"/>
      <c r="J187" s="144"/>
      <c r="K187" s="145"/>
      <c r="L187" s="146"/>
      <c r="M187" s="147"/>
      <c r="N187" s="146"/>
      <c r="O187" s="144"/>
      <c r="P187" s="144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</row>
    <row r="188" ht="13.5" customHeight="1">
      <c r="A188" s="142"/>
      <c r="B188" s="142"/>
      <c r="C188" s="142"/>
      <c r="D188" s="142"/>
      <c r="E188" s="142"/>
      <c r="F188" s="142"/>
      <c r="G188" s="143"/>
      <c r="H188" s="143"/>
      <c r="I188" s="144"/>
      <c r="J188" s="144"/>
      <c r="K188" s="145"/>
      <c r="L188" s="146"/>
      <c r="M188" s="147"/>
      <c r="N188" s="146"/>
      <c r="O188" s="144"/>
      <c r="P188" s="144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</row>
    <row r="189" ht="13.5" customHeight="1">
      <c r="A189" s="142"/>
      <c r="B189" s="142"/>
      <c r="C189" s="142"/>
      <c r="D189" s="142"/>
      <c r="E189" s="142"/>
      <c r="F189" s="142"/>
      <c r="G189" s="143"/>
      <c r="H189" s="143"/>
      <c r="I189" s="144"/>
      <c r="J189" s="144"/>
      <c r="K189" s="145"/>
      <c r="L189" s="146"/>
      <c r="M189" s="147"/>
      <c r="N189" s="146"/>
      <c r="O189" s="144"/>
      <c r="P189" s="144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</row>
    <row r="190" ht="13.5" customHeight="1">
      <c r="A190" s="142"/>
      <c r="B190" s="142"/>
      <c r="C190" s="142"/>
      <c r="D190" s="142"/>
      <c r="E190" s="142"/>
      <c r="F190" s="142"/>
      <c r="G190" s="143"/>
      <c r="H190" s="143"/>
      <c r="I190" s="144"/>
      <c r="J190" s="144"/>
      <c r="K190" s="145"/>
      <c r="L190" s="146"/>
      <c r="M190" s="147"/>
      <c r="N190" s="146"/>
      <c r="O190" s="144"/>
      <c r="P190" s="144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  <c r="AJ190" s="142"/>
    </row>
    <row r="191" ht="13.5" customHeight="1">
      <c r="A191" s="142"/>
      <c r="B191" s="142"/>
      <c r="C191" s="142"/>
      <c r="D191" s="142"/>
      <c r="E191" s="142"/>
      <c r="F191" s="142"/>
      <c r="G191" s="143"/>
      <c r="H191" s="143"/>
      <c r="I191" s="144"/>
      <c r="J191" s="144"/>
      <c r="K191" s="145"/>
      <c r="L191" s="146"/>
      <c r="M191" s="147"/>
      <c r="N191" s="146"/>
      <c r="O191" s="144"/>
      <c r="P191" s="144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  <c r="AI191" s="142"/>
      <c r="AJ191" s="142"/>
    </row>
    <row r="192" ht="13.5" customHeight="1">
      <c r="A192" s="142"/>
      <c r="B192" s="142"/>
      <c r="C192" s="142"/>
      <c r="D192" s="142"/>
      <c r="E192" s="142"/>
      <c r="F192" s="142"/>
      <c r="G192" s="143"/>
      <c r="H192" s="143"/>
      <c r="I192" s="144"/>
      <c r="J192" s="144"/>
      <c r="K192" s="145"/>
      <c r="L192" s="146"/>
      <c r="M192" s="147"/>
      <c r="N192" s="146"/>
      <c r="O192" s="144"/>
      <c r="P192" s="144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2"/>
      <c r="AI192" s="142"/>
      <c r="AJ192" s="142"/>
    </row>
    <row r="193" ht="13.5" customHeight="1">
      <c r="A193" s="142"/>
      <c r="B193" s="142"/>
      <c r="C193" s="142"/>
      <c r="D193" s="142"/>
      <c r="E193" s="142"/>
      <c r="F193" s="142"/>
      <c r="G193" s="143"/>
      <c r="H193" s="143"/>
      <c r="I193" s="144"/>
      <c r="J193" s="144"/>
      <c r="K193" s="145"/>
      <c r="L193" s="146"/>
      <c r="M193" s="147"/>
      <c r="N193" s="146"/>
      <c r="O193" s="144"/>
      <c r="P193" s="144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2"/>
      <c r="AI193" s="142"/>
      <c r="AJ193" s="142"/>
    </row>
    <row r="194" ht="13.5" customHeight="1">
      <c r="A194" s="142"/>
      <c r="B194" s="142"/>
      <c r="C194" s="142"/>
      <c r="D194" s="142"/>
      <c r="E194" s="142"/>
      <c r="F194" s="142"/>
      <c r="G194" s="143"/>
      <c r="H194" s="143"/>
      <c r="I194" s="144"/>
      <c r="J194" s="144"/>
      <c r="K194" s="145"/>
      <c r="L194" s="146"/>
      <c r="M194" s="147"/>
      <c r="N194" s="146"/>
      <c r="O194" s="144"/>
      <c r="P194" s="144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2"/>
      <c r="AI194" s="142"/>
      <c r="AJ194" s="142"/>
    </row>
    <row r="195" ht="13.5" customHeight="1">
      <c r="A195" s="142"/>
      <c r="B195" s="142"/>
      <c r="C195" s="142"/>
      <c r="D195" s="142"/>
      <c r="E195" s="142"/>
      <c r="F195" s="142"/>
      <c r="G195" s="143"/>
      <c r="H195" s="143"/>
      <c r="I195" s="144"/>
      <c r="J195" s="144"/>
      <c r="K195" s="145"/>
      <c r="L195" s="146"/>
      <c r="M195" s="147"/>
      <c r="N195" s="146"/>
      <c r="O195" s="144"/>
      <c r="P195" s="144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2"/>
      <c r="AI195" s="142"/>
      <c r="AJ195" s="142"/>
    </row>
    <row r="196" ht="13.5" customHeight="1">
      <c r="A196" s="142"/>
      <c r="B196" s="142"/>
      <c r="C196" s="142"/>
      <c r="D196" s="142"/>
      <c r="E196" s="142"/>
      <c r="F196" s="142"/>
      <c r="G196" s="143"/>
      <c r="H196" s="143"/>
      <c r="I196" s="144"/>
      <c r="J196" s="144"/>
      <c r="K196" s="145"/>
      <c r="L196" s="146"/>
      <c r="M196" s="147"/>
      <c r="N196" s="146"/>
      <c r="O196" s="144"/>
      <c r="P196" s="144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  <c r="AJ196" s="142"/>
    </row>
    <row r="197" ht="13.5" customHeight="1">
      <c r="A197" s="142"/>
      <c r="B197" s="142"/>
      <c r="C197" s="142"/>
      <c r="D197" s="142"/>
      <c r="E197" s="142"/>
      <c r="F197" s="142"/>
      <c r="G197" s="143"/>
      <c r="H197" s="143"/>
      <c r="I197" s="144"/>
      <c r="J197" s="144"/>
      <c r="K197" s="145"/>
      <c r="L197" s="146"/>
      <c r="M197" s="147"/>
      <c r="N197" s="146"/>
      <c r="O197" s="144"/>
      <c r="P197" s="144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</row>
    <row r="198" ht="13.5" customHeight="1">
      <c r="A198" s="142"/>
      <c r="B198" s="142"/>
      <c r="C198" s="142"/>
      <c r="D198" s="142"/>
      <c r="E198" s="142"/>
      <c r="F198" s="142"/>
      <c r="G198" s="143"/>
      <c r="H198" s="143"/>
      <c r="I198" s="144"/>
      <c r="J198" s="144"/>
      <c r="K198" s="145"/>
      <c r="L198" s="146"/>
      <c r="M198" s="147"/>
      <c r="N198" s="146"/>
      <c r="O198" s="144"/>
      <c r="P198" s="144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</row>
    <row r="199" ht="13.5" customHeight="1">
      <c r="A199" s="142"/>
      <c r="B199" s="142"/>
      <c r="C199" s="142"/>
      <c r="D199" s="142"/>
      <c r="E199" s="142"/>
      <c r="F199" s="142"/>
      <c r="G199" s="143"/>
      <c r="H199" s="143"/>
      <c r="I199" s="144"/>
      <c r="J199" s="144"/>
      <c r="K199" s="145"/>
      <c r="L199" s="146"/>
      <c r="M199" s="147"/>
      <c r="N199" s="146"/>
      <c r="O199" s="144"/>
      <c r="P199" s="144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</row>
    <row r="200" ht="13.5" customHeight="1">
      <c r="A200" s="142"/>
      <c r="B200" s="142"/>
      <c r="C200" s="142"/>
      <c r="D200" s="142"/>
      <c r="E200" s="142"/>
      <c r="F200" s="142"/>
      <c r="G200" s="143"/>
      <c r="H200" s="143"/>
      <c r="I200" s="144"/>
      <c r="J200" s="144"/>
      <c r="K200" s="145"/>
      <c r="L200" s="146"/>
      <c r="M200" s="147"/>
      <c r="N200" s="146"/>
      <c r="O200" s="144"/>
      <c r="P200" s="144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</row>
    <row r="201" ht="13.5" customHeight="1">
      <c r="A201" s="142"/>
      <c r="B201" s="142"/>
      <c r="C201" s="142"/>
      <c r="D201" s="142"/>
      <c r="E201" s="142"/>
      <c r="F201" s="142"/>
      <c r="G201" s="143"/>
      <c r="H201" s="143"/>
      <c r="I201" s="144"/>
      <c r="J201" s="144"/>
      <c r="K201" s="145"/>
      <c r="L201" s="146"/>
      <c r="M201" s="147"/>
      <c r="N201" s="146"/>
      <c r="O201" s="144"/>
      <c r="P201" s="144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  <c r="AJ201" s="142"/>
    </row>
    <row r="202" ht="13.5" customHeight="1">
      <c r="A202" s="142"/>
      <c r="B202" s="142"/>
      <c r="C202" s="142"/>
      <c r="D202" s="142"/>
      <c r="E202" s="142"/>
      <c r="F202" s="142"/>
      <c r="G202" s="143"/>
      <c r="H202" s="143"/>
      <c r="I202" s="144"/>
      <c r="J202" s="144"/>
      <c r="K202" s="145"/>
      <c r="L202" s="146"/>
      <c r="M202" s="147"/>
      <c r="N202" s="146"/>
      <c r="O202" s="144"/>
      <c r="P202" s="144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  <c r="AJ202" s="142"/>
    </row>
    <row r="203" ht="13.5" customHeight="1">
      <c r="A203" s="142"/>
      <c r="B203" s="142"/>
      <c r="C203" s="142"/>
      <c r="D203" s="142"/>
      <c r="E203" s="142"/>
      <c r="F203" s="142"/>
      <c r="G203" s="143"/>
      <c r="H203" s="143"/>
      <c r="I203" s="144"/>
      <c r="J203" s="144"/>
      <c r="K203" s="145"/>
      <c r="L203" s="146"/>
      <c r="M203" s="147"/>
      <c r="N203" s="146"/>
      <c r="O203" s="144"/>
      <c r="P203" s="144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142"/>
    </row>
    <row r="204" ht="13.5" customHeight="1">
      <c r="A204" s="142"/>
      <c r="B204" s="142"/>
      <c r="C204" s="142"/>
      <c r="D204" s="142"/>
      <c r="E204" s="142"/>
      <c r="F204" s="142"/>
      <c r="G204" s="143"/>
      <c r="H204" s="143"/>
      <c r="I204" s="144"/>
      <c r="J204" s="144"/>
      <c r="K204" s="145"/>
      <c r="L204" s="146"/>
      <c r="M204" s="147"/>
      <c r="N204" s="146"/>
      <c r="O204" s="144"/>
      <c r="P204" s="144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2"/>
      <c r="AI204" s="142"/>
      <c r="AJ204" s="142"/>
    </row>
    <row r="205" ht="13.5" customHeight="1">
      <c r="A205" s="142"/>
      <c r="B205" s="142"/>
      <c r="C205" s="142"/>
      <c r="D205" s="142"/>
      <c r="E205" s="142"/>
      <c r="F205" s="142"/>
      <c r="G205" s="143"/>
      <c r="H205" s="143"/>
      <c r="I205" s="144"/>
      <c r="J205" s="144"/>
      <c r="K205" s="145"/>
      <c r="L205" s="146"/>
      <c r="M205" s="147"/>
      <c r="N205" s="146"/>
      <c r="O205" s="144"/>
      <c r="P205" s="144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  <c r="AJ205" s="142"/>
    </row>
    <row r="206" ht="13.5" customHeight="1">
      <c r="A206" s="142"/>
      <c r="B206" s="142"/>
      <c r="C206" s="142"/>
      <c r="D206" s="142"/>
      <c r="E206" s="142"/>
      <c r="F206" s="142"/>
      <c r="G206" s="143"/>
      <c r="H206" s="143"/>
      <c r="I206" s="144"/>
      <c r="J206" s="144"/>
      <c r="K206" s="145"/>
      <c r="L206" s="146"/>
      <c r="M206" s="147"/>
      <c r="N206" s="146"/>
      <c r="O206" s="144"/>
      <c r="P206" s="144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2"/>
      <c r="AI206" s="142"/>
      <c r="AJ206" s="142"/>
    </row>
    <row r="207" ht="13.5" customHeight="1">
      <c r="A207" s="142"/>
      <c r="B207" s="142"/>
      <c r="C207" s="142"/>
      <c r="D207" s="142"/>
      <c r="E207" s="142"/>
      <c r="F207" s="142"/>
      <c r="G207" s="143"/>
      <c r="H207" s="143"/>
      <c r="I207" s="144"/>
      <c r="J207" s="144"/>
      <c r="K207" s="145"/>
      <c r="L207" s="146"/>
      <c r="M207" s="147"/>
      <c r="N207" s="146"/>
      <c r="O207" s="144"/>
      <c r="P207" s="144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2"/>
      <c r="AI207" s="142"/>
      <c r="AJ207" s="142"/>
    </row>
    <row r="208" ht="13.5" customHeight="1">
      <c r="A208" s="142"/>
      <c r="B208" s="142"/>
      <c r="C208" s="142"/>
      <c r="D208" s="142"/>
      <c r="E208" s="142"/>
      <c r="F208" s="142"/>
      <c r="G208" s="143"/>
      <c r="H208" s="143"/>
      <c r="I208" s="144"/>
      <c r="J208" s="144"/>
      <c r="K208" s="145"/>
      <c r="L208" s="146"/>
      <c r="M208" s="147"/>
      <c r="N208" s="146"/>
      <c r="O208" s="144"/>
      <c r="P208" s="144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  <c r="AJ208" s="142"/>
    </row>
    <row r="209" ht="13.5" customHeight="1">
      <c r="A209" s="142"/>
      <c r="B209" s="142"/>
      <c r="C209" s="142"/>
      <c r="D209" s="142"/>
      <c r="E209" s="142"/>
      <c r="F209" s="142"/>
      <c r="G209" s="143"/>
      <c r="H209" s="143"/>
      <c r="I209" s="144"/>
      <c r="J209" s="144"/>
      <c r="K209" s="145"/>
      <c r="L209" s="146"/>
      <c r="M209" s="147"/>
      <c r="N209" s="146"/>
      <c r="O209" s="144"/>
      <c r="P209" s="144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2"/>
      <c r="AI209" s="142"/>
      <c r="AJ209" s="142"/>
    </row>
    <row r="210" ht="13.5" customHeight="1">
      <c r="A210" s="142"/>
      <c r="B210" s="142"/>
      <c r="C210" s="142"/>
      <c r="D210" s="142"/>
      <c r="E210" s="142"/>
      <c r="F210" s="142"/>
      <c r="G210" s="143"/>
      <c r="H210" s="143"/>
      <c r="I210" s="144"/>
      <c r="J210" s="144"/>
      <c r="K210" s="145"/>
      <c r="L210" s="146"/>
      <c r="M210" s="147"/>
      <c r="N210" s="146"/>
      <c r="O210" s="144"/>
      <c r="P210" s="144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2"/>
      <c r="AI210" s="142"/>
      <c r="AJ210" s="142"/>
    </row>
    <row r="211" ht="13.5" customHeight="1">
      <c r="A211" s="142"/>
      <c r="B211" s="142"/>
      <c r="C211" s="142"/>
      <c r="D211" s="142"/>
      <c r="E211" s="142"/>
      <c r="F211" s="142"/>
      <c r="G211" s="143"/>
      <c r="H211" s="143"/>
      <c r="I211" s="144"/>
      <c r="J211" s="144"/>
      <c r="K211" s="145"/>
      <c r="L211" s="146"/>
      <c r="M211" s="147"/>
      <c r="N211" s="146"/>
      <c r="O211" s="144"/>
      <c r="P211" s="144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  <c r="AF211" s="142"/>
      <c r="AG211" s="142"/>
      <c r="AH211" s="142"/>
      <c r="AI211" s="142"/>
      <c r="AJ211" s="142"/>
    </row>
    <row r="212" ht="13.5" customHeight="1">
      <c r="A212" s="142"/>
      <c r="B212" s="142"/>
      <c r="C212" s="142"/>
      <c r="D212" s="142"/>
      <c r="E212" s="142"/>
      <c r="F212" s="142"/>
      <c r="G212" s="143"/>
      <c r="H212" s="143"/>
      <c r="I212" s="144"/>
      <c r="J212" s="144"/>
      <c r="K212" s="145"/>
      <c r="L212" s="146"/>
      <c r="M212" s="147"/>
      <c r="N212" s="146"/>
      <c r="O212" s="144"/>
      <c r="P212" s="144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  <c r="AF212" s="142"/>
      <c r="AG212" s="142"/>
      <c r="AH212" s="142"/>
      <c r="AI212" s="142"/>
      <c r="AJ212" s="142"/>
    </row>
    <row r="213" ht="13.5" customHeight="1">
      <c r="A213" s="142"/>
      <c r="B213" s="142"/>
      <c r="C213" s="142"/>
      <c r="D213" s="142"/>
      <c r="E213" s="142"/>
      <c r="F213" s="142"/>
      <c r="G213" s="143"/>
      <c r="H213" s="143"/>
      <c r="I213" s="144"/>
      <c r="J213" s="144"/>
      <c r="K213" s="145"/>
      <c r="L213" s="146"/>
      <c r="M213" s="147"/>
      <c r="N213" s="146"/>
      <c r="O213" s="144"/>
      <c r="P213" s="144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  <c r="AF213" s="142"/>
      <c r="AG213" s="142"/>
      <c r="AH213" s="142"/>
      <c r="AI213" s="142"/>
      <c r="AJ213" s="142"/>
    </row>
    <row r="214" ht="13.5" customHeight="1">
      <c r="A214" s="142"/>
      <c r="B214" s="142"/>
      <c r="C214" s="142"/>
      <c r="D214" s="142"/>
      <c r="E214" s="142"/>
      <c r="F214" s="142"/>
      <c r="G214" s="143"/>
      <c r="H214" s="143"/>
      <c r="I214" s="144"/>
      <c r="J214" s="144"/>
      <c r="K214" s="145"/>
      <c r="L214" s="146"/>
      <c r="M214" s="147"/>
      <c r="N214" s="146"/>
      <c r="O214" s="144"/>
      <c r="P214" s="144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42"/>
      <c r="AG214" s="142"/>
      <c r="AH214" s="142"/>
      <c r="AI214" s="142"/>
      <c r="AJ214" s="142"/>
    </row>
    <row r="215" ht="13.5" customHeight="1">
      <c r="A215" s="142"/>
      <c r="B215" s="142"/>
      <c r="C215" s="142"/>
      <c r="D215" s="142"/>
      <c r="E215" s="142"/>
      <c r="F215" s="142"/>
      <c r="G215" s="143"/>
      <c r="H215" s="143"/>
      <c r="I215" s="144"/>
      <c r="J215" s="144"/>
      <c r="K215" s="145"/>
      <c r="L215" s="146"/>
      <c r="M215" s="147"/>
      <c r="N215" s="146"/>
      <c r="O215" s="144"/>
      <c r="P215" s="144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  <c r="AF215" s="142"/>
      <c r="AG215" s="142"/>
      <c r="AH215" s="142"/>
      <c r="AI215" s="142"/>
      <c r="AJ215" s="142"/>
    </row>
    <row r="216" ht="13.5" customHeight="1">
      <c r="A216" s="142"/>
      <c r="B216" s="142"/>
      <c r="C216" s="142"/>
      <c r="D216" s="142"/>
      <c r="E216" s="142"/>
      <c r="F216" s="142"/>
      <c r="G216" s="143"/>
      <c r="H216" s="143"/>
      <c r="I216" s="144"/>
      <c r="J216" s="144"/>
      <c r="K216" s="145"/>
      <c r="L216" s="146"/>
      <c r="M216" s="147"/>
      <c r="N216" s="146"/>
      <c r="O216" s="144"/>
      <c r="P216" s="144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  <c r="AF216" s="142"/>
      <c r="AG216" s="142"/>
      <c r="AH216" s="142"/>
      <c r="AI216" s="142"/>
      <c r="AJ216" s="142"/>
    </row>
    <row r="217" ht="13.5" customHeight="1">
      <c r="A217" s="142"/>
      <c r="B217" s="142"/>
      <c r="C217" s="142"/>
      <c r="D217" s="142"/>
      <c r="E217" s="142"/>
      <c r="F217" s="142"/>
      <c r="G217" s="143"/>
      <c r="H217" s="143"/>
      <c r="I217" s="144"/>
      <c r="J217" s="144"/>
      <c r="K217" s="145"/>
      <c r="L217" s="146"/>
      <c r="M217" s="147"/>
      <c r="N217" s="146"/>
      <c r="O217" s="144"/>
      <c r="P217" s="144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42"/>
      <c r="AG217" s="142"/>
      <c r="AH217" s="142"/>
      <c r="AI217" s="142"/>
      <c r="AJ217" s="142"/>
    </row>
    <row r="218" ht="13.5" customHeight="1">
      <c r="A218" s="142"/>
      <c r="B218" s="142"/>
      <c r="C218" s="142"/>
      <c r="D218" s="142"/>
      <c r="E218" s="142"/>
      <c r="F218" s="142"/>
      <c r="G218" s="143"/>
      <c r="H218" s="143"/>
      <c r="I218" s="144"/>
      <c r="J218" s="144"/>
      <c r="K218" s="145"/>
      <c r="L218" s="146"/>
      <c r="M218" s="147"/>
      <c r="N218" s="146"/>
      <c r="O218" s="144"/>
      <c r="P218" s="144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42"/>
      <c r="AG218" s="142"/>
      <c r="AH218" s="142"/>
      <c r="AI218" s="142"/>
      <c r="AJ218" s="142"/>
    </row>
    <row r="219" ht="13.5" customHeight="1">
      <c r="A219" s="142"/>
      <c r="B219" s="142"/>
      <c r="C219" s="142"/>
      <c r="D219" s="142"/>
      <c r="E219" s="142"/>
      <c r="F219" s="142"/>
      <c r="G219" s="143"/>
      <c r="H219" s="143"/>
      <c r="I219" s="144"/>
      <c r="J219" s="144"/>
      <c r="K219" s="145"/>
      <c r="L219" s="146"/>
      <c r="M219" s="147"/>
      <c r="N219" s="146"/>
      <c r="O219" s="144"/>
      <c r="P219" s="144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  <c r="AF219" s="142"/>
      <c r="AG219" s="142"/>
      <c r="AH219" s="142"/>
      <c r="AI219" s="142"/>
      <c r="AJ219" s="142"/>
    </row>
    <row r="220" ht="13.5" customHeight="1">
      <c r="A220" s="142"/>
      <c r="B220" s="142"/>
      <c r="C220" s="142"/>
      <c r="D220" s="142"/>
      <c r="E220" s="142"/>
      <c r="F220" s="142"/>
      <c r="G220" s="143"/>
      <c r="H220" s="143"/>
      <c r="I220" s="144"/>
      <c r="J220" s="144"/>
      <c r="K220" s="145"/>
      <c r="L220" s="146"/>
      <c r="M220" s="147"/>
      <c r="N220" s="146"/>
      <c r="O220" s="144"/>
      <c r="P220" s="144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  <c r="AF220" s="142"/>
      <c r="AG220" s="142"/>
      <c r="AH220" s="142"/>
      <c r="AI220" s="142"/>
      <c r="AJ220" s="142"/>
    </row>
    <row r="221" ht="13.5" customHeight="1">
      <c r="A221" s="142"/>
      <c r="B221" s="142"/>
      <c r="C221" s="142"/>
      <c r="D221" s="142"/>
      <c r="E221" s="142"/>
      <c r="F221" s="142"/>
      <c r="G221" s="143"/>
      <c r="H221" s="143"/>
      <c r="I221" s="144"/>
      <c r="J221" s="144"/>
      <c r="K221" s="145"/>
      <c r="L221" s="146"/>
      <c r="M221" s="147"/>
      <c r="N221" s="146"/>
      <c r="O221" s="144"/>
      <c r="P221" s="144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  <c r="AF221" s="142"/>
      <c r="AG221" s="142"/>
      <c r="AH221" s="142"/>
      <c r="AI221" s="142"/>
      <c r="AJ221" s="142"/>
    </row>
    <row r="222" ht="13.5" customHeight="1">
      <c r="A222" s="142"/>
      <c r="B222" s="142"/>
      <c r="C222" s="142"/>
      <c r="D222" s="142"/>
      <c r="E222" s="142"/>
      <c r="F222" s="142"/>
      <c r="G222" s="143"/>
      <c r="H222" s="143"/>
      <c r="I222" s="144"/>
      <c r="J222" s="144"/>
      <c r="K222" s="145"/>
      <c r="L222" s="146"/>
      <c r="M222" s="147"/>
      <c r="N222" s="146"/>
      <c r="O222" s="144"/>
      <c r="P222" s="144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42"/>
      <c r="AG222" s="142"/>
      <c r="AH222" s="142"/>
      <c r="AI222" s="142"/>
      <c r="AJ222" s="142"/>
    </row>
    <row r="223" ht="13.5" customHeight="1">
      <c r="A223" s="142"/>
      <c r="B223" s="142"/>
      <c r="C223" s="142"/>
      <c r="D223" s="142"/>
      <c r="E223" s="142"/>
      <c r="F223" s="142"/>
      <c r="G223" s="143"/>
      <c r="H223" s="143"/>
      <c r="I223" s="144"/>
      <c r="J223" s="144"/>
      <c r="K223" s="145"/>
      <c r="L223" s="146"/>
      <c r="M223" s="147"/>
      <c r="N223" s="146"/>
      <c r="O223" s="144"/>
      <c r="P223" s="144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  <c r="AF223" s="142"/>
      <c r="AG223" s="142"/>
      <c r="AH223" s="142"/>
      <c r="AI223" s="142"/>
      <c r="AJ223" s="14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4:C5"/>
    <mergeCell ref="D4:E4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I2:J2"/>
    <mergeCell ref="K2:L2"/>
    <mergeCell ref="M2:N2"/>
    <mergeCell ref="O2:P2"/>
    <mergeCell ref="I3:L3"/>
    <mergeCell ref="M3:P3"/>
    <mergeCell ref="B4:B5"/>
    <mergeCell ref="P4:P5"/>
  </mergeCells>
  <dataValidations>
    <dataValidation type="list" allowBlank="1" showErrorMessage="1" sqref="M8 M11 M17 M21 M24">
      <formula1>"미착수,착수,수행,PL확인,PM확인,완료"</formula1>
    </dataValidation>
    <dataValidation type="list" allowBlank="1" showErrorMessage="1" sqref="M9:M10 M12:M16 M18:M20 M22:M23">
      <formula1>"미착수,착수,수행1단계,수행2단계,테스트,PL확인,PM확인,완료"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8.57"/>
    <col customWidth="1" min="3" max="6" width="14.43"/>
    <col customWidth="1" min="8" max="9" width="12.71"/>
    <col customWidth="1" min="10" max="10" width="99.29"/>
    <col customWidth="1" min="11" max="11" width="32.71"/>
    <col customWidth="1" min="12" max="12" width="42.29"/>
    <col customWidth="1" min="13" max="13" width="38.29"/>
    <col customWidth="1" min="14" max="14" width="38.71"/>
    <col customWidth="1" min="15" max="15" width="116.0"/>
  </cols>
  <sheetData>
    <row r="1" ht="60.0" customHeight="1">
      <c r="A1" s="303" t="s">
        <v>435</v>
      </c>
      <c r="B1" s="36"/>
      <c r="C1" s="36"/>
      <c r="D1" s="36"/>
      <c r="E1" s="36"/>
      <c r="F1" s="36"/>
      <c r="G1" s="36"/>
      <c r="H1" s="36"/>
      <c r="I1" s="36"/>
      <c r="J1" s="37"/>
      <c r="K1" s="304" t="s">
        <v>436</v>
      </c>
      <c r="L1" s="305"/>
      <c r="M1" s="305"/>
      <c r="N1" s="305"/>
      <c r="O1" s="305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</row>
    <row r="2" ht="42.0" customHeight="1">
      <c r="A2" s="307" t="s">
        <v>437</v>
      </c>
      <c r="B2" s="305"/>
      <c r="C2" s="305"/>
      <c r="D2" s="305"/>
      <c r="E2" s="305"/>
      <c r="F2" s="305"/>
      <c r="G2" s="305"/>
      <c r="H2" s="305"/>
      <c r="I2" s="305"/>
      <c r="J2" s="305"/>
      <c r="K2" s="305" t="s">
        <v>438</v>
      </c>
      <c r="L2" s="305" t="s">
        <v>438</v>
      </c>
      <c r="M2" s="305" t="s">
        <v>438</v>
      </c>
      <c r="N2" s="305" t="s">
        <v>438</v>
      </c>
      <c r="O2" s="305" t="s">
        <v>438</v>
      </c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</row>
    <row r="3">
      <c r="A3" s="308" t="s">
        <v>439</v>
      </c>
      <c r="B3" s="308" t="s">
        <v>117</v>
      </c>
      <c r="C3" s="308" t="s">
        <v>440</v>
      </c>
      <c r="D3" s="308" t="s">
        <v>148</v>
      </c>
      <c r="E3" s="309" t="s">
        <v>441</v>
      </c>
      <c r="F3" s="309" t="s">
        <v>442</v>
      </c>
      <c r="G3" s="309" t="s">
        <v>443</v>
      </c>
      <c r="H3" s="310" t="s">
        <v>444</v>
      </c>
      <c r="I3" s="310" t="s">
        <v>445</v>
      </c>
      <c r="J3" s="311" t="s">
        <v>446</v>
      </c>
      <c r="K3" s="311" t="s">
        <v>447</v>
      </c>
      <c r="L3" s="310" t="s">
        <v>448</v>
      </c>
      <c r="M3" s="310" t="s">
        <v>449</v>
      </c>
      <c r="N3" s="312" t="s">
        <v>450</v>
      </c>
      <c r="O3" s="312" t="s">
        <v>451</v>
      </c>
    </row>
    <row r="4">
      <c r="A4" s="313">
        <v>1.0</v>
      </c>
      <c r="B4" s="314" t="s">
        <v>135</v>
      </c>
      <c r="C4" s="314" t="s">
        <v>452</v>
      </c>
      <c r="D4" s="314" t="s">
        <v>158</v>
      </c>
      <c r="E4" s="315">
        <v>46045.0</v>
      </c>
      <c r="F4" s="315">
        <v>46045.0</v>
      </c>
      <c r="G4" s="315">
        <v>46045.0</v>
      </c>
      <c r="H4" s="316" t="s">
        <v>453</v>
      </c>
      <c r="I4" s="316" t="s">
        <v>454</v>
      </c>
      <c r="J4" s="317" t="s">
        <v>455</v>
      </c>
      <c r="K4" s="317" t="s">
        <v>456</v>
      </c>
      <c r="L4" s="317" t="s">
        <v>457</v>
      </c>
      <c r="M4" s="317" t="s">
        <v>458</v>
      </c>
      <c r="N4" s="318" t="s">
        <v>459</v>
      </c>
      <c r="O4" s="318" t="s">
        <v>460</v>
      </c>
      <c r="P4" s="284"/>
      <c r="Q4" s="284"/>
      <c r="R4" s="284"/>
      <c r="S4" s="284"/>
      <c r="T4" s="284"/>
      <c r="U4" s="284"/>
      <c r="V4" s="284"/>
      <c r="W4" s="284"/>
      <c r="X4" s="284"/>
      <c r="Y4" s="284"/>
      <c r="Z4" s="284"/>
    </row>
    <row r="5">
      <c r="A5" s="313">
        <v>2.0</v>
      </c>
      <c r="B5" s="314" t="s">
        <v>292</v>
      </c>
      <c r="C5" s="314" t="s">
        <v>452</v>
      </c>
      <c r="D5" s="314" t="s">
        <v>158</v>
      </c>
      <c r="E5" s="315">
        <v>46045.0</v>
      </c>
      <c r="F5" s="315">
        <v>46058.0</v>
      </c>
      <c r="G5" s="315">
        <v>46058.0</v>
      </c>
      <c r="H5" s="316" t="s">
        <v>453</v>
      </c>
      <c r="I5" s="316" t="s">
        <v>461</v>
      </c>
      <c r="J5" s="319" t="s">
        <v>462</v>
      </c>
      <c r="K5" s="314"/>
      <c r="L5" s="314"/>
      <c r="M5" s="314"/>
      <c r="N5" s="314"/>
      <c r="O5" s="31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</row>
    <row r="6">
      <c r="A6" s="313">
        <v>3.0</v>
      </c>
      <c r="B6" s="314" t="s">
        <v>292</v>
      </c>
      <c r="C6" s="314" t="s">
        <v>463</v>
      </c>
      <c r="D6" s="314" t="s">
        <v>158</v>
      </c>
      <c r="E6" s="315">
        <v>46045.0</v>
      </c>
      <c r="F6" s="315">
        <v>46098.0</v>
      </c>
      <c r="G6" s="315">
        <v>46098.0</v>
      </c>
      <c r="H6" s="316" t="s">
        <v>453</v>
      </c>
      <c r="I6" s="316"/>
      <c r="J6" s="314" t="s">
        <v>464</v>
      </c>
      <c r="K6" s="314"/>
      <c r="L6" s="314"/>
      <c r="M6" s="314"/>
      <c r="N6" s="314" t="s">
        <v>465</v>
      </c>
      <c r="O6" s="320" t="s">
        <v>466</v>
      </c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</row>
    <row r="7">
      <c r="A7" s="313">
        <v>4.0</v>
      </c>
      <c r="B7" s="314" t="s">
        <v>317</v>
      </c>
      <c r="C7" s="314" t="s">
        <v>452</v>
      </c>
      <c r="D7" s="314" t="s">
        <v>158</v>
      </c>
      <c r="E7" s="315">
        <v>46044.0</v>
      </c>
      <c r="F7" s="315">
        <v>46044.0</v>
      </c>
      <c r="G7" s="315">
        <v>46044.0</v>
      </c>
      <c r="H7" s="316" t="s">
        <v>453</v>
      </c>
      <c r="I7" s="316" t="s">
        <v>467</v>
      </c>
      <c r="J7" s="314" t="s">
        <v>468</v>
      </c>
      <c r="K7" s="314"/>
      <c r="L7" s="314"/>
      <c r="M7" s="314"/>
      <c r="N7" s="314"/>
      <c r="O7" s="314" t="s">
        <v>469</v>
      </c>
      <c r="P7" s="284"/>
      <c r="Q7" s="284"/>
      <c r="R7" s="284"/>
      <c r="S7" s="284"/>
      <c r="T7" s="284"/>
      <c r="U7" s="284"/>
      <c r="V7" s="284"/>
      <c r="W7" s="284"/>
      <c r="X7" s="284"/>
      <c r="Y7" s="284"/>
      <c r="Z7" s="284"/>
    </row>
    <row r="8">
      <c r="A8" s="313">
        <v>5.0</v>
      </c>
      <c r="B8" s="314" t="s">
        <v>317</v>
      </c>
      <c r="C8" s="314" t="s">
        <v>452</v>
      </c>
      <c r="D8" s="314" t="s">
        <v>158</v>
      </c>
      <c r="E8" s="315">
        <v>46044.0</v>
      </c>
      <c r="F8" s="315">
        <v>46044.0</v>
      </c>
      <c r="G8" s="315">
        <v>46044.0</v>
      </c>
      <c r="H8" s="316" t="s">
        <v>453</v>
      </c>
      <c r="I8" s="316" t="s">
        <v>467</v>
      </c>
      <c r="J8" s="314" t="s">
        <v>470</v>
      </c>
      <c r="K8" s="314"/>
      <c r="L8" s="314"/>
      <c r="M8" s="314"/>
      <c r="N8" s="314"/>
      <c r="O8" s="314" t="s">
        <v>469</v>
      </c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</row>
    <row r="9">
      <c r="A9" s="313">
        <v>6.0</v>
      </c>
      <c r="B9" s="314" t="s">
        <v>135</v>
      </c>
      <c r="C9" s="314" t="s">
        <v>471</v>
      </c>
      <c r="D9" s="314"/>
      <c r="E9" s="315">
        <v>46048.0</v>
      </c>
      <c r="F9" s="315">
        <v>46059.0</v>
      </c>
      <c r="G9" s="314"/>
      <c r="H9" s="316" t="s">
        <v>453</v>
      </c>
      <c r="I9" s="316" t="s">
        <v>14</v>
      </c>
      <c r="J9" s="314" t="s">
        <v>472</v>
      </c>
      <c r="K9" s="314"/>
      <c r="L9" s="314"/>
      <c r="M9" s="314"/>
      <c r="N9" s="314"/>
      <c r="O9" s="31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</row>
    <row r="10">
      <c r="A10" s="313">
        <v>7.0</v>
      </c>
      <c r="B10" s="314" t="s">
        <v>135</v>
      </c>
      <c r="C10" s="314" t="s">
        <v>471</v>
      </c>
      <c r="D10" s="314" t="s">
        <v>158</v>
      </c>
      <c r="E10" s="315">
        <v>46050.0</v>
      </c>
      <c r="F10" s="315">
        <v>46063.0</v>
      </c>
      <c r="G10" s="315">
        <v>46063.0</v>
      </c>
      <c r="H10" s="316" t="s">
        <v>453</v>
      </c>
      <c r="I10" s="316" t="s">
        <v>14</v>
      </c>
      <c r="J10" s="314" t="s">
        <v>473</v>
      </c>
      <c r="K10" s="314"/>
      <c r="L10" s="314" t="s">
        <v>474</v>
      </c>
      <c r="M10" s="314" t="s">
        <v>475</v>
      </c>
      <c r="N10" s="314"/>
      <c r="O10" s="314"/>
      <c r="P10" s="284"/>
      <c r="Q10" s="284"/>
      <c r="R10" s="284"/>
      <c r="S10" s="284"/>
      <c r="T10" s="284"/>
      <c r="U10" s="284"/>
      <c r="V10" s="284"/>
      <c r="W10" s="284"/>
      <c r="X10" s="284"/>
      <c r="Y10" s="284"/>
      <c r="Z10" s="284"/>
    </row>
    <row r="11">
      <c r="A11" s="313">
        <v>8.0</v>
      </c>
      <c r="B11" s="314" t="s">
        <v>135</v>
      </c>
      <c r="C11" s="314" t="s">
        <v>463</v>
      </c>
      <c r="D11" s="314" t="s">
        <v>158</v>
      </c>
      <c r="E11" s="315">
        <v>46051.0</v>
      </c>
      <c r="F11" s="315">
        <v>46052.0</v>
      </c>
      <c r="G11" s="315">
        <v>46052.0</v>
      </c>
      <c r="H11" s="316" t="s">
        <v>476</v>
      </c>
      <c r="I11" s="316" t="s">
        <v>467</v>
      </c>
      <c r="J11" s="314" t="s">
        <v>477</v>
      </c>
      <c r="K11" s="314"/>
      <c r="L11" s="314"/>
      <c r="M11" s="314"/>
      <c r="N11" s="314"/>
      <c r="O11" s="314" t="s">
        <v>478</v>
      </c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</row>
    <row r="12">
      <c r="A12" s="313">
        <v>9.0</v>
      </c>
      <c r="B12" s="314" t="s">
        <v>135</v>
      </c>
      <c r="C12" s="314" t="s">
        <v>479</v>
      </c>
      <c r="D12" s="314" t="s">
        <v>158</v>
      </c>
      <c r="E12" s="315">
        <v>46055.0</v>
      </c>
      <c r="F12" s="315">
        <v>46056.0</v>
      </c>
      <c r="G12" s="315">
        <v>46056.0</v>
      </c>
      <c r="H12" s="316" t="s">
        <v>453</v>
      </c>
      <c r="I12" s="316" t="s">
        <v>467</v>
      </c>
      <c r="J12" s="314" t="s">
        <v>480</v>
      </c>
      <c r="K12" s="314"/>
      <c r="L12" s="314"/>
      <c r="M12" s="314"/>
      <c r="N12" s="314"/>
      <c r="O12" s="314" t="s">
        <v>481</v>
      </c>
      <c r="P12" s="284"/>
      <c r="Q12" s="284"/>
      <c r="R12" s="284"/>
      <c r="S12" s="284"/>
      <c r="T12" s="284"/>
      <c r="U12" s="284"/>
      <c r="V12" s="284"/>
      <c r="W12" s="284"/>
      <c r="X12" s="284"/>
      <c r="Y12" s="284"/>
      <c r="Z12" s="284"/>
    </row>
    <row r="13">
      <c r="A13" s="313">
        <v>10.0</v>
      </c>
      <c r="B13" s="314" t="s">
        <v>135</v>
      </c>
      <c r="C13" s="314" t="s">
        <v>463</v>
      </c>
      <c r="D13" s="314" t="s">
        <v>158</v>
      </c>
      <c r="E13" s="315">
        <v>46056.0</v>
      </c>
      <c r="F13" s="315">
        <v>46057.0</v>
      </c>
      <c r="G13" s="315">
        <v>46057.0</v>
      </c>
      <c r="H13" s="316" t="s">
        <v>453</v>
      </c>
      <c r="I13" s="316" t="s">
        <v>454</v>
      </c>
      <c r="J13" s="314" t="s">
        <v>482</v>
      </c>
      <c r="K13" s="314"/>
      <c r="L13" s="314"/>
      <c r="M13" s="314"/>
      <c r="N13" s="314"/>
      <c r="O13" s="314" t="s">
        <v>483</v>
      </c>
      <c r="P13" s="284"/>
      <c r="Q13" s="284"/>
      <c r="R13" s="284"/>
      <c r="S13" s="284"/>
      <c r="T13" s="284"/>
      <c r="U13" s="284"/>
      <c r="V13" s="284"/>
      <c r="W13" s="284"/>
      <c r="X13" s="284"/>
      <c r="Y13" s="284"/>
      <c r="Z13" s="284"/>
    </row>
    <row r="14">
      <c r="A14" s="313">
        <v>11.0</v>
      </c>
      <c r="B14" s="314" t="s">
        <v>135</v>
      </c>
      <c r="C14" s="314" t="s">
        <v>452</v>
      </c>
      <c r="D14" s="314" t="s">
        <v>158</v>
      </c>
      <c r="E14" s="315">
        <v>46056.0</v>
      </c>
      <c r="F14" s="315">
        <v>46056.0</v>
      </c>
      <c r="G14" s="315">
        <v>46056.0</v>
      </c>
      <c r="H14" s="316" t="s">
        <v>453</v>
      </c>
      <c r="I14" s="316" t="s">
        <v>454</v>
      </c>
      <c r="J14" s="314" t="s">
        <v>484</v>
      </c>
      <c r="K14" s="314"/>
      <c r="L14" s="314"/>
      <c r="M14" s="314"/>
      <c r="N14" s="314"/>
      <c r="O14" s="314" t="s">
        <v>485</v>
      </c>
      <c r="P14" s="284"/>
      <c r="Q14" s="284"/>
      <c r="R14" s="284"/>
      <c r="S14" s="284"/>
      <c r="T14" s="284"/>
      <c r="U14" s="284"/>
      <c r="V14" s="284"/>
      <c r="W14" s="284"/>
      <c r="X14" s="284"/>
      <c r="Y14" s="284"/>
      <c r="Z14" s="284"/>
    </row>
    <row r="15" ht="20.25" customHeight="1">
      <c r="A15" s="62">
        <v>12.0</v>
      </c>
      <c r="B15" s="321" t="s">
        <v>135</v>
      </c>
      <c r="C15" s="321" t="s">
        <v>463</v>
      </c>
      <c r="D15" s="321" t="s">
        <v>158</v>
      </c>
      <c r="E15" s="322">
        <v>46057.0</v>
      </c>
      <c r="F15" s="322">
        <v>46057.0</v>
      </c>
      <c r="G15" s="322">
        <v>46057.0</v>
      </c>
      <c r="H15" s="61" t="s">
        <v>453</v>
      </c>
      <c r="I15" s="61" t="s">
        <v>454</v>
      </c>
      <c r="J15" s="321" t="s">
        <v>486</v>
      </c>
      <c r="K15" s="314"/>
      <c r="L15" s="314"/>
      <c r="M15" s="314"/>
      <c r="N15" s="314"/>
      <c r="O15" s="314" t="s">
        <v>487</v>
      </c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</row>
    <row r="16">
      <c r="A16" s="313">
        <v>13.0</v>
      </c>
      <c r="B16" s="314" t="s">
        <v>135</v>
      </c>
      <c r="C16" s="314" t="s">
        <v>452</v>
      </c>
      <c r="D16" s="314" t="s">
        <v>158</v>
      </c>
      <c r="E16" s="315">
        <v>46058.0</v>
      </c>
      <c r="F16" s="322">
        <v>46065.0</v>
      </c>
      <c r="G16" s="322">
        <v>46064.0</v>
      </c>
      <c r="H16" s="316" t="s">
        <v>453</v>
      </c>
      <c r="I16" s="316" t="s">
        <v>467</v>
      </c>
      <c r="J16" s="314" t="s">
        <v>488</v>
      </c>
      <c r="K16" s="314"/>
      <c r="L16" s="314"/>
      <c r="M16" s="314"/>
      <c r="N16" s="314"/>
      <c r="O16" s="314" t="s">
        <v>489</v>
      </c>
      <c r="P16" s="284"/>
      <c r="Q16" s="284"/>
      <c r="R16" s="284"/>
      <c r="S16" s="284"/>
      <c r="T16" s="284"/>
      <c r="U16" s="284"/>
      <c r="V16" s="284"/>
      <c r="W16" s="284"/>
      <c r="X16" s="284"/>
      <c r="Y16" s="284"/>
      <c r="Z16" s="284"/>
    </row>
    <row r="17">
      <c r="A17" s="313">
        <v>14.0</v>
      </c>
      <c r="B17" s="323" t="s">
        <v>135</v>
      </c>
      <c r="C17" s="314" t="s">
        <v>471</v>
      </c>
      <c r="D17" s="314" t="s">
        <v>158</v>
      </c>
      <c r="E17" s="315">
        <v>46062.0</v>
      </c>
      <c r="F17" s="322">
        <v>46065.0</v>
      </c>
      <c r="G17" s="322">
        <v>46065.0</v>
      </c>
      <c r="H17" s="316" t="s">
        <v>453</v>
      </c>
      <c r="I17" s="316" t="s">
        <v>454</v>
      </c>
      <c r="J17" s="314" t="s">
        <v>490</v>
      </c>
      <c r="K17" s="314"/>
      <c r="L17" s="314"/>
      <c r="M17" s="314"/>
      <c r="N17" s="314"/>
      <c r="O17" s="314" t="s">
        <v>491</v>
      </c>
    </row>
    <row r="18" ht="15.75" customHeight="1">
      <c r="A18" s="313">
        <v>15.0</v>
      </c>
      <c r="B18" s="323" t="s">
        <v>317</v>
      </c>
      <c r="C18" s="314" t="s">
        <v>452</v>
      </c>
      <c r="D18" s="314"/>
      <c r="E18" s="322">
        <v>46063.0</v>
      </c>
      <c r="F18" s="314"/>
      <c r="G18" s="314"/>
      <c r="H18" s="316" t="s">
        <v>453</v>
      </c>
      <c r="I18" s="316"/>
      <c r="J18" s="314" t="s">
        <v>492</v>
      </c>
      <c r="K18" s="314"/>
      <c r="L18" s="314"/>
      <c r="M18" s="314"/>
      <c r="N18" s="314"/>
      <c r="O18" s="314"/>
    </row>
    <row r="19">
      <c r="A19" s="313">
        <v>16.0</v>
      </c>
      <c r="B19" s="323" t="s">
        <v>135</v>
      </c>
      <c r="C19" s="314" t="s">
        <v>463</v>
      </c>
      <c r="D19" s="314" t="s">
        <v>158</v>
      </c>
      <c r="E19" s="315">
        <v>46073.0</v>
      </c>
      <c r="F19" s="315">
        <v>46077.0</v>
      </c>
      <c r="G19" s="315">
        <v>46077.0</v>
      </c>
      <c r="H19" s="316" t="s">
        <v>453</v>
      </c>
      <c r="I19" s="316" t="s">
        <v>467</v>
      </c>
      <c r="J19" s="324" t="s">
        <v>493</v>
      </c>
      <c r="K19" s="314"/>
      <c r="L19" s="314" t="s">
        <v>494</v>
      </c>
      <c r="M19" s="314"/>
      <c r="N19" s="314"/>
      <c r="O19" s="314" t="s">
        <v>495</v>
      </c>
    </row>
    <row r="20">
      <c r="A20" s="313">
        <v>17.0</v>
      </c>
      <c r="B20" s="323" t="s">
        <v>135</v>
      </c>
      <c r="C20" s="314" t="s">
        <v>463</v>
      </c>
      <c r="D20" s="314" t="s">
        <v>158</v>
      </c>
      <c r="E20" s="315">
        <v>46073.0</v>
      </c>
      <c r="F20" s="315">
        <v>46076.0</v>
      </c>
      <c r="G20" s="315">
        <v>46076.0</v>
      </c>
      <c r="H20" s="316" t="s">
        <v>453</v>
      </c>
      <c r="I20" s="316" t="s">
        <v>467</v>
      </c>
      <c r="J20" s="325" t="s">
        <v>496</v>
      </c>
      <c r="K20" s="314"/>
      <c r="L20" s="314"/>
      <c r="M20" s="314"/>
      <c r="N20" s="314"/>
      <c r="O20" s="314" t="s">
        <v>497</v>
      </c>
    </row>
    <row r="21" ht="15.75" customHeight="1">
      <c r="A21" s="313">
        <v>18.0</v>
      </c>
      <c r="B21" s="323" t="s">
        <v>135</v>
      </c>
      <c r="C21" s="314" t="s">
        <v>471</v>
      </c>
      <c r="D21" s="314" t="s">
        <v>158</v>
      </c>
      <c r="E21" s="315">
        <v>46073.0</v>
      </c>
      <c r="F21" s="315">
        <v>46098.0</v>
      </c>
      <c r="G21" s="315">
        <v>46098.0</v>
      </c>
      <c r="H21" s="316" t="s">
        <v>453</v>
      </c>
      <c r="I21" s="316"/>
      <c r="J21" s="314" t="s">
        <v>498</v>
      </c>
      <c r="K21" s="314"/>
      <c r="L21" s="314"/>
      <c r="M21" s="314"/>
      <c r="N21" s="314" t="s">
        <v>499</v>
      </c>
      <c r="O21" s="314"/>
    </row>
    <row r="22" ht="15.75" customHeight="1">
      <c r="A22" s="313">
        <v>19.0</v>
      </c>
      <c r="B22" s="323" t="s">
        <v>135</v>
      </c>
      <c r="C22" s="314" t="s">
        <v>463</v>
      </c>
      <c r="D22" s="314" t="s">
        <v>158</v>
      </c>
      <c r="E22" s="315">
        <v>46076.0</v>
      </c>
      <c r="F22" s="315" t="s">
        <v>500</v>
      </c>
      <c r="G22" s="315" t="s">
        <v>500</v>
      </c>
      <c r="H22" s="316" t="s">
        <v>453</v>
      </c>
      <c r="I22" s="316" t="s">
        <v>467</v>
      </c>
      <c r="J22" s="314" t="s">
        <v>501</v>
      </c>
      <c r="K22" s="314"/>
      <c r="L22" s="314"/>
      <c r="M22" s="314"/>
      <c r="N22" s="314"/>
      <c r="O22" s="314" t="s">
        <v>502</v>
      </c>
    </row>
    <row r="23" ht="15.75" customHeight="1">
      <c r="A23" s="313"/>
      <c r="B23" s="323"/>
      <c r="C23" s="314"/>
      <c r="D23" s="314"/>
      <c r="E23" s="314"/>
      <c r="F23" s="314"/>
      <c r="G23" s="314"/>
      <c r="H23" s="316"/>
      <c r="I23" s="316"/>
      <c r="J23" s="314"/>
      <c r="K23" s="314"/>
      <c r="L23" s="314"/>
      <c r="M23" s="314"/>
      <c r="N23" s="314"/>
      <c r="O23" s="314"/>
    </row>
    <row r="24" ht="15.75" customHeight="1">
      <c r="A24" s="313"/>
      <c r="B24" s="323"/>
      <c r="C24" s="314"/>
      <c r="D24" s="314"/>
      <c r="E24" s="314"/>
      <c r="F24" s="314"/>
      <c r="G24" s="314"/>
      <c r="H24" s="316"/>
      <c r="I24" s="316"/>
      <c r="J24" s="314"/>
      <c r="K24" s="314"/>
      <c r="L24" s="314"/>
      <c r="M24" s="314"/>
      <c r="N24" s="314"/>
      <c r="O24" s="314"/>
    </row>
    <row r="25" ht="15.75" customHeight="1">
      <c r="A25" s="313"/>
      <c r="B25" s="323"/>
      <c r="C25" s="314"/>
      <c r="D25" s="314"/>
      <c r="E25" s="314"/>
      <c r="F25" s="314"/>
      <c r="G25" s="314"/>
      <c r="H25" s="316"/>
      <c r="I25" s="316"/>
      <c r="J25" s="314"/>
      <c r="K25" s="314"/>
      <c r="L25" s="314"/>
      <c r="M25" s="314"/>
      <c r="N25" s="314"/>
      <c r="O25" s="314"/>
    </row>
    <row r="26" ht="15.75" customHeight="1">
      <c r="A26" s="313"/>
      <c r="B26" s="323"/>
      <c r="C26" s="314"/>
      <c r="D26" s="314"/>
      <c r="E26" s="314"/>
      <c r="F26" s="314"/>
      <c r="G26" s="314"/>
      <c r="H26" s="316"/>
      <c r="I26" s="316"/>
      <c r="J26" s="314"/>
      <c r="K26" s="314"/>
      <c r="L26" s="314"/>
      <c r="M26" s="314"/>
      <c r="N26" s="314"/>
      <c r="O26" s="314"/>
    </row>
    <row r="27" ht="15.75" customHeight="1">
      <c r="A27" s="313"/>
      <c r="B27" s="323"/>
      <c r="C27" s="314"/>
      <c r="D27" s="314"/>
      <c r="E27" s="314"/>
      <c r="F27" s="314"/>
      <c r="G27" s="314"/>
      <c r="H27" s="316"/>
      <c r="I27" s="316"/>
      <c r="J27" s="314"/>
      <c r="K27" s="314"/>
      <c r="L27" s="314"/>
      <c r="M27" s="314"/>
      <c r="N27" s="314"/>
      <c r="O27" s="314"/>
    </row>
    <row r="28" ht="15.75" customHeight="1">
      <c r="A28" s="313"/>
      <c r="B28" s="323"/>
      <c r="C28" s="314"/>
      <c r="D28" s="314"/>
      <c r="E28" s="314"/>
      <c r="F28" s="314"/>
      <c r="G28" s="314"/>
      <c r="H28" s="316"/>
      <c r="I28" s="316"/>
      <c r="J28" s="314"/>
      <c r="K28" s="314"/>
      <c r="L28" s="314"/>
      <c r="M28" s="314"/>
      <c r="N28" s="314"/>
      <c r="O28" s="314"/>
    </row>
    <row r="29" ht="15.75" customHeight="1">
      <c r="A29" s="313"/>
      <c r="B29" s="323"/>
      <c r="C29" s="314"/>
      <c r="D29" s="314"/>
      <c r="E29" s="314"/>
      <c r="F29" s="314"/>
      <c r="G29" s="314"/>
      <c r="H29" s="316"/>
      <c r="I29" s="316"/>
      <c r="J29" s="314"/>
      <c r="K29" s="314"/>
      <c r="L29" s="314"/>
      <c r="M29" s="314"/>
      <c r="N29" s="314"/>
      <c r="O29" s="314"/>
    </row>
    <row r="30" ht="15.75" customHeight="1">
      <c r="A30" s="314"/>
      <c r="B30" s="323"/>
      <c r="C30" s="314"/>
      <c r="D30" s="314"/>
      <c r="E30" s="314"/>
      <c r="F30" s="314"/>
      <c r="G30" s="314"/>
      <c r="H30" s="316"/>
      <c r="I30" s="316"/>
      <c r="J30" s="314"/>
      <c r="K30" s="314"/>
      <c r="L30" s="314"/>
      <c r="M30" s="314"/>
      <c r="N30" s="314"/>
      <c r="O30" s="314"/>
    </row>
    <row r="31" ht="15.75" customHeight="1">
      <c r="A31" s="314"/>
      <c r="B31" s="323"/>
      <c r="C31" s="314"/>
      <c r="D31" s="314"/>
      <c r="E31" s="314"/>
      <c r="F31" s="314"/>
      <c r="G31" s="314"/>
      <c r="H31" s="316"/>
      <c r="I31" s="316"/>
      <c r="J31" s="314"/>
      <c r="K31" s="314"/>
      <c r="L31" s="314"/>
      <c r="M31" s="314"/>
      <c r="N31" s="314"/>
      <c r="O31" s="314"/>
    </row>
    <row r="32" ht="15.75" customHeight="1">
      <c r="A32" s="314"/>
      <c r="B32" s="323"/>
      <c r="C32" s="314"/>
      <c r="D32" s="314"/>
      <c r="E32" s="314"/>
      <c r="F32" s="314"/>
      <c r="G32" s="314"/>
      <c r="H32" s="316"/>
      <c r="I32" s="316"/>
      <c r="J32" s="314"/>
      <c r="K32" s="314"/>
      <c r="L32" s="314"/>
      <c r="M32" s="314"/>
      <c r="N32" s="314"/>
      <c r="O32" s="314"/>
    </row>
    <row r="33" ht="15.75" customHeight="1">
      <c r="A33" s="314"/>
      <c r="B33" s="323"/>
      <c r="C33" s="314"/>
      <c r="D33" s="314"/>
      <c r="E33" s="314"/>
      <c r="F33" s="314"/>
      <c r="G33" s="314"/>
      <c r="H33" s="316"/>
      <c r="I33" s="316"/>
      <c r="J33" s="314"/>
      <c r="K33" s="314"/>
      <c r="L33" s="314"/>
      <c r="M33" s="314"/>
      <c r="N33" s="314"/>
      <c r="O33" s="314"/>
    </row>
    <row r="34" ht="15.75" customHeight="1">
      <c r="A34" s="314"/>
      <c r="B34" s="323"/>
      <c r="C34" s="314"/>
      <c r="D34" s="314"/>
      <c r="E34" s="314"/>
      <c r="F34" s="314"/>
      <c r="G34" s="314"/>
      <c r="H34" s="316"/>
      <c r="I34" s="316"/>
      <c r="J34" s="314"/>
      <c r="K34" s="314"/>
      <c r="L34" s="314"/>
      <c r="M34" s="314"/>
      <c r="N34" s="314"/>
      <c r="O34" s="314"/>
    </row>
    <row r="35" ht="15.75" customHeight="1">
      <c r="A35" s="314"/>
      <c r="B35" s="323"/>
      <c r="C35" s="314"/>
      <c r="D35" s="314"/>
      <c r="E35" s="314"/>
      <c r="F35" s="314"/>
      <c r="G35" s="314"/>
      <c r="H35" s="316"/>
      <c r="I35" s="316"/>
      <c r="J35" s="314"/>
      <c r="K35" s="314"/>
      <c r="L35" s="314"/>
      <c r="M35" s="314"/>
      <c r="N35" s="314"/>
      <c r="O35" s="314"/>
    </row>
    <row r="36" ht="15.75" customHeight="1">
      <c r="A36" s="314"/>
      <c r="B36" s="323"/>
      <c r="C36" s="314"/>
      <c r="D36" s="314"/>
      <c r="E36" s="314"/>
      <c r="F36" s="314"/>
      <c r="G36" s="314"/>
      <c r="H36" s="316"/>
      <c r="I36" s="316"/>
      <c r="J36" s="314"/>
      <c r="K36" s="314"/>
      <c r="L36" s="314"/>
      <c r="M36" s="314"/>
      <c r="N36" s="314"/>
      <c r="O36" s="314"/>
    </row>
    <row r="37" ht="15.75" customHeight="1">
      <c r="A37" s="314"/>
      <c r="B37" s="323"/>
      <c r="C37" s="314"/>
      <c r="D37" s="314"/>
      <c r="E37" s="314"/>
      <c r="F37" s="314"/>
      <c r="G37" s="314"/>
      <c r="H37" s="316"/>
      <c r="I37" s="316"/>
      <c r="J37" s="314"/>
      <c r="K37" s="314"/>
      <c r="L37" s="314"/>
      <c r="M37" s="314"/>
      <c r="N37" s="314"/>
      <c r="O37" s="314"/>
    </row>
    <row r="38" ht="15.75" customHeight="1">
      <c r="A38" s="314"/>
      <c r="B38" s="323"/>
      <c r="C38" s="314"/>
      <c r="D38" s="314"/>
      <c r="E38" s="314"/>
      <c r="F38" s="314"/>
      <c r="G38" s="314"/>
      <c r="H38" s="316"/>
      <c r="I38" s="316"/>
      <c r="J38" s="314"/>
      <c r="K38" s="314"/>
      <c r="L38" s="314"/>
      <c r="M38" s="314"/>
      <c r="N38" s="314"/>
      <c r="O38" s="314"/>
    </row>
    <row r="39" ht="15.75" customHeight="1">
      <c r="A39" s="314"/>
      <c r="B39" s="323"/>
      <c r="C39" s="314"/>
      <c r="D39" s="314"/>
      <c r="E39" s="314"/>
      <c r="F39" s="314"/>
      <c r="G39" s="314"/>
      <c r="H39" s="316"/>
      <c r="I39" s="316"/>
      <c r="J39" s="314"/>
      <c r="K39" s="314"/>
      <c r="L39" s="314"/>
      <c r="M39" s="314"/>
      <c r="N39" s="314"/>
      <c r="O39" s="314"/>
    </row>
    <row r="40" ht="15.75" customHeight="1">
      <c r="A40" s="314"/>
      <c r="B40" s="323"/>
      <c r="C40" s="314"/>
      <c r="D40" s="314"/>
      <c r="E40" s="314"/>
      <c r="F40" s="314"/>
      <c r="G40" s="314"/>
      <c r="H40" s="316"/>
      <c r="I40" s="316"/>
      <c r="J40" s="314"/>
      <c r="K40" s="314"/>
      <c r="L40" s="314"/>
      <c r="M40" s="314"/>
      <c r="N40" s="314"/>
      <c r="O40" s="314"/>
    </row>
    <row r="41" ht="15.75" customHeight="1">
      <c r="A41" s="314"/>
      <c r="B41" s="323"/>
      <c r="C41" s="314"/>
      <c r="D41" s="314"/>
      <c r="E41" s="314"/>
      <c r="F41" s="314"/>
      <c r="G41" s="314"/>
      <c r="H41" s="316"/>
      <c r="I41" s="316"/>
      <c r="J41" s="314"/>
      <c r="K41" s="314"/>
      <c r="L41" s="314"/>
      <c r="M41" s="314"/>
      <c r="N41" s="314"/>
      <c r="O41" s="314"/>
    </row>
    <row r="42" ht="15.75" customHeight="1">
      <c r="A42" s="314"/>
      <c r="B42" s="323"/>
      <c r="C42" s="314"/>
      <c r="D42" s="314"/>
      <c r="E42" s="314"/>
      <c r="F42" s="314"/>
      <c r="G42" s="314"/>
      <c r="H42" s="316"/>
      <c r="I42" s="316"/>
      <c r="J42" s="314"/>
      <c r="K42" s="314"/>
      <c r="L42" s="314"/>
      <c r="M42" s="314"/>
      <c r="N42" s="314"/>
      <c r="O42" s="314"/>
    </row>
    <row r="43" ht="15.75" customHeight="1">
      <c r="A43" s="314"/>
      <c r="B43" s="323"/>
      <c r="C43" s="314"/>
      <c r="D43" s="314"/>
      <c r="E43" s="314"/>
      <c r="F43" s="314"/>
      <c r="G43" s="314"/>
      <c r="H43" s="316"/>
      <c r="I43" s="316"/>
      <c r="J43" s="314"/>
      <c r="K43" s="314"/>
      <c r="L43" s="314"/>
      <c r="M43" s="314"/>
      <c r="N43" s="314"/>
      <c r="O43" s="314"/>
    </row>
    <row r="44" ht="15.75" customHeight="1">
      <c r="A44" s="314"/>
      <c r="B44" s="323"/>
      <c r="C44" s="314"/>
      <c r="D44" s="314"/>
      <c r="E44" s="314"/>
      <c r="F44" s="314"/>
      <c r="G44" s="314"/>
      <c r="H44" s="316"/>
      <c r="I44" s="316"/>
      <c r="J44" s="314"/>
      <c r="K44" s="314"/>
      <c r="L44" s="314"/>
      <c r="M44" s="314"/>
      <c r="N44" s="314"/>
      <c r="O44" s="314"/>
    </row>
    <row r="45" ht="15.75" customHeight="1">
      <c r="A45" s="314"/>
      <c r="B45" s="323"/>
      <c r="C45" s="314"/>
      <c r="D45" s="314"/>
      <c r="E45" s="314"/>
      <c r="F45" s="314"/>
      <c r="G45" s="314"/>
      <c r="H45" s="316"/>
      <c r="I45" s="316"/>
      <c r="J45" s="314"/>
      <c r="K45" s="314"/>
      <c r="L45" s="314"/>
      <c r="M45" s="314"/>
      <c r="N45" s="314"/>
      <c r="O45" s="314"/>
    </row>
    <row r="46" ht="15.75" customHeight="1">
      <c r="A46" s="314"/>
      <c r="B46" s="323"/>
      <c r="C46" s="314"/>
      <c r="D46" s="314"/>
      <c r="E46" s="314"/>
      <c r="F46" s="314"/>
      <c r="G46" s="314"/>
      <c r="H46" s="316"/>
      <c r="I46" s="316"/>
      <c r="J46" s="314"/>
      <c r="K46" s="314"/>
      <c r="L46" s="314"/>
      <c r="M46" s="314"/>
      <c r="N46" s="314"/>
      <c r="O46" s="314"/>
    </row>
    <row r="47" ht="15.75" customHeight="1">
      <c r="A47" s="314"/>
      <c r="B47" s="323"/>
      <c r="C47" s="314"/>
      <c r="D47" s="314"/>
      <c r="E47" s="314"/>
      <c r="F47" s="314"/>
      <c r="G47" s="314"/>
      <c r="H47" s="316"/>
      <c r="I47" s="316"/>
      <c r="J47" s="314"/>
      <c r="K47" s="314"/>
      <c r="L47" s="314"/>
      <c r="M47" s="314"/>
      <c r="N47" s="314"/>
      <c r="O47" s="314"/>
    </row>
    <row r="48" ht="15.75" customHeight="1">
      <c r="A48" s="314"/>
      <c r="B48" s="323"/>
      <c r="C48" s="314"/>
      <c r="D48" s="314"/>
      <c r="E48" s="314"/>
      <c r="F48" s="314"/>
      <c r="G48" s="314"/>
      <c r="H48" s="316"/>
      <c r="I48" s="316"/>
      <c r="J48" s="314"/>
      <c r="K48" s="314"/>
      <c r="L48" s="314"/>
      <c r="M48" s="314"/>
      <c r="N48" s="314"/>
      <c r="O48" s="314"/>
    </row>
    <row r="49" ht="15.75" customHeight="1">
      <c r="A49" s="314"/>
      <c r="B49" s="323"/>
      <c r="C49" s="314"/>
      <c r="D49" s="314"/>
      <c r="E49" s="314"/>
      <c r="F49" s="314"/>
      <c r="G49" s="314"/>
      <c r="H49" s="316"/>
      <c r="I49" s="316"/>
      <c r="J49" s="314"/>
      <c r="K49" s="314"/>
      <c r="L49" s="314"/>
      <c r="M49" s="314"/>
      <c r="N49" s="314"/>
      <c r="O49" s="314"/>
    </row>
    <row r="50" ht="15.75" customHeight="1">
      <c r="A50" s="314"/>
      <c r="B50" s="323"/>
      <c r="C50" s="314"/>
      <c r="D50" s="314"/>
      <c r="E50" s="314"/>
      <c r="F50" s="314"/>
      <c r="G50" s="314"/>
      <c r="H50" s="316"/>
      <c r="I50" s="316"/>
      <c r="J50" s="314"/>
      <c r="K50" s="314"/>
      <c r="L50" s="314"/>
      <c r="M50" s="314"/>
      <c r="N50" s="314"/>
      <c r="O50" s="314"/>
    </row>
    <row r="51" ht="15.75" customHeight="1">
      <c r="A51" s="314"/>
      <c r="B51" s="323"/>
      <c r="C51" s="314"/>
      <c r="D51" s="314"/>
      <c r="E51" s="314"/>
      <c r="F51" s="314"/>
      <c r="G51" s="314"/>
      <c r="H51" s="316"/>
      <c r="I51" s="316"/>
      <c r="J51" s="314"/>
      <c r="K51" s="314"/>
      <c r="L51" s="314"/>
      <c r="M51" s="314"/>
      <c r="N51" s="314"/>
      <c r="O51" s="314"/>
    </row>
    <row r="52" ht="15.75" customHeight="1">
      <c r="A52" s="314"/>
      <c r="B52" s="323"/>
      <c r="C52" s="314"/>
      <c r="D52" s="314"/>
      <c r="E52" s="314"/>
      <c r="F52" s="314"/>
      <c r="G52" s="314"/>
      <c r="H52" s="316"/>
      <c r="I52" s="316"/>
      <c r="J52" s="314"/>
      <c r="K52" s="314"/>
      <c r="L52" s="314"/>
      <c r="M52" s="314"/>
      <c r="N52" s="314"/>
      <c r="O52" s="314"/>
    </row>
    <row r="53" ht="15.75" customHeight="1">
      <c r="A53" s="314"/>
      <c r="B53" s="323"/>
      <c r="C53" s="314"/>
      <c r="D53" s="314"/>
      <c r="E53" s="314"/>
      <c r="F53" s="314"/>
      <c r="G53" s="314"/>
      <c r="H53" s="316"/>
      <c r="I53" s="316"/>
      <c r="J53" s="314"/>
      <c r="K53" s="314"/>
      <c r="L53" s="314"/>
      <c r="M53" s="314"/>
      <c r="N53" s="314"/>
      <c r="O53" s="314"/>
    </row>
    <row r="54" ht="15.75" customHeight="1">
      <c r="A54" s="314"/>
      <c r="B54" s="323"/>
      <c r="C54" s="314"/>
      <c r="D54" s="314"/>
      <c r="E54" s="314"/>
      <c r="F54" s="314"/>
      <c r="G54" s="314"/>
      <c r="H54" s="316"/>
      <c r="I54" s="316"/>
      <c r="J54" s="314"/>
      <c r="K54" s="314"/>
      <c r="L54" s="314"/>
      <c r="M54" s="314"/>
      <c r="N54" s="314"/>
      <c r="O54" s="314"/>
    </row>
    <row r="55" ht="15.75" customHeight="1">
      <c r="A55" s="314"/>
      <c r="B55" s="323"/>
      <c r="C55" s="314"/>
      <c r="D55" s="314"/>
      <c r="E55" s="314"/>
      <c r="F55" s="314"/>
      <c r="G55" s="314"/>
      <c r="H55" s="316"/>
      <c r="I55" s="316"/>
      <c r="J55" s="314"/>
      <c r="K55" s="314"/>
      <c r="L55" s="314"/>
      <c r="M55" s="314"/>
      <c r="N55" s="314"/>
      <c r="O55" s="314"/>
    </row>
    <row r="56" ht="15.75" customHeight="1">
      <c r="A56" s="314"/>
      <c r="B56" s="323"/>
      <c r="C56" s="314"/>
      <c r="D56" s="314"/>
      <c r="E56" s="314"/>
      <c r="F56" s="314"/>
      <c r="G56" s="314"/>
      <c r="H56" s="316"/>
      <c r="I56" s="316"/>
      <c r="J56" s="314"/>
      <c r="K56" s="314"/>
      <c r="L56" s="314"/>
      <c r="M56" s="314"/>
      <c r="N56" s="314"/>
      <c r="O56" s="314"/>
    </row>
    <row r="57" ht="15.75" customHeight="1">
      <c r="A57" s="314"/>
      <c r="B57" s="323"/>
      <c r="C57" s="314"/>
      <c r="D57" s="314"/>
      <c r="E57" s="314"/>
      <c r="F57" s="314"/>
      <c r="G57" s="314"/>
      <c r="H57" s="316"/>
      <c r="I57" s="316"/>
      <c r="J57" s="314"/>
      <c r="K57" s="314"/>
      <c r="L57" s="314"/>
      <c r="M57" s="314"/>
      <c r="N57" s="314"/>
      <c r="O57" s="314"/>
    </row>
    <row r="58" ht="15.75" customHeight="1">
      <c r="A58" s="314"/>
      <c r="B58" s="323"/>
      <c r="C58" s="314"/>
      <c r="D58" s="314"/>
      <c r="E58" s="314"/>
      <c r="F58" s="314"/>
      <c r="G58" s="314"/>
      <c r="H58" s="316"/>
      <c r="I58" s="316"/>
      <c r="J58" s="314"/>
      <c r="K58" s="314"/>
      <c r="L58" s="314"/>
      <c r="M58" s="314"/>
      <c r="N58" s="314"/>
      <c r="O58" s="314"/>
    </row>
    <row r="59" ht="15.75" customHeight="1">
      <c r="A59" s="314"/>
      <c r="B59" s="323"/>
      <c r="C59" s="314"/>
      <c r="D59" s="314"/>
      <c r="E59" s="314"/>
      <c r="F59" s="314"/>
      <c r="G59" s="314"/>
      <c r="H59" s="316"/>
      <c r="I59" s="316"/>
      <c r="J59" s="314"/>
      <c r="K59" s="314"/>
      <c r="L59" s="314"/>
      <c r="M59" s="314"/>
      <c r="N59" s="314"/>
      <c r="O59" s="314"/>
    </row>
    <row r="60" ht="15.75" customHeight="1">
      <c r="A60" s="314"/>
      <c r="B60" s="323"/>
      <c r="C60" s="314"/>
      <c r="D60" s="314"/>
      <c r="E60" s="314"/>
      <c r="F60" s="314"/>
      <c r="G60" s="314"/>
      <c r="H60" s="316"/>
      <c r="I60" s="316"/>
      <c r="J60" s="314"/>
      <c r="K60" s="314"/>
      <c r="L60" s="314"/>
      <c r="M60" s="314"/>
      <c r="N60" s="314"/>
      <c r="O60" s="314"/>
    </row>
    <row r="61" ht="15.75" customHeight="1">
      <c r="A61" s="314"/>
      <c r="B61" s="323"/>
      <c r="C61" s="314"/>
      <c r="D61" s="314"/>
      <c r="E61" s="314"/>
      <c r="F61" s="314"/>
      <c r="G61" s="314"/>
      <c r="H61" s="316"/>
      <c r="I61" s="316"/>
      <c r="J61" s="314"/>
      <c r="K61" s="314"/>
      <c r="L61" s="314"/>
      <c r="M61" s="314"/>
      <c r="N61" s="314"/>
      <c r="O61" s="314"/>
    </row>
    <row r="62" ht="15.75" customHeight="1">
      <c r="A62" s="314"/>
      <c r="B62" s="323"/>
      <c r="C62" s="314"/>
      <c r="D62" s="314"/>
      <c r="E62" s="314"/>
      <c r="F62" s="314"/>
      <c r="G62" s="314"/>
      <c r="H62" s="316"/>
      <c r="I62" s="316"/>
      <c r="J62" s="314"/>
      <c r="K62" s="314"/>
      <c r="L62" s="314"/>
      <c r="M62" s="314"/>
      <c r="N62" s="314"/>
      <c r="O62" s="314"/>
    </row>
    <row r="63" ht="15.75" customHeight="1">
      <c r="A63" s="314"/>
      <c r="B63" s="323"/>
      <c r="C63" s="314"/>
      <c r="D63" s="314"/>
      <c r="E63" s="314"/>
      <c r="F63" s="314"/>
      <c r="G63" s="314"/>
      <c r="H63" s="316"/>
      <c r="I63" s="316"/>
      <c r="J63" s="314"/>
      <c r="K63" s="314"/>
      <c r="L63" s="314"/>
      <c r="M63" s="314"/>
      <c r="N63" s="314"/>
      <c r="O63" s="314"/>
    </row>
    <row r="64" ht="15.75" customHeight="1">
      <c r="A64" s="314"/>
      <c r="B64" s="323"/>
      <c r="C64" s="314"/>
      <c r="D64" s="314"/>
      <c r="E64" s="314"/>
      <c r="F64" s="314"/>
      <c r="G64" s="314"/>
      <c r="H64" s="316"/>
      <c r="I64" s="316"/>
      <c r="J64" s="314"/>
      <c r="K64" s="314"/>
      <c r="L64" s="314"/>
      <c r="M64" s="314"/>
      <c r="N64" s="314"/>
      <c r="O64" s="314"/>
    </row>
    <row r="65" ht="15.75" customHeight="1">
      <c r="A65" s="314"/>
      <c r="B65" s="323"/>
      <c r="C65" s="314"/>
      <c r="D65" s="314"/>
      <c r="E65" s="314"/>
      <c r="F65" s="314"/>
      <c r="G65" s="314"/>
      <c r="H65" s="316"/>
      <c r="I65" s="316"/>
      <c r="J65" s="314"/>
      <c r="K65" s="314"/>
      <c r="L65" s="314"/>
      <c r="M65" s="314"/>
      <c r="N65" s="314"/>
      <c r="O65" s="314"/>
    </row>
    <row r="66" ht="15.75" customHeight="1">
      <c r="A66" s="314"/>
      <c r="B66" s="323"/>
      <c r="C66" s="314"/>
      <c r="D66" s="314"/>
      <c r="E66" s="314"/>
      <c r="F66" s="314"/>
      <c r="G66" s="314"/>
      <c r="H66" s="316"/>
      <c r="I66" s="316"/>
      <c r="J66" s="314"/>
      <c r="K66" s="314"/>
      <c r="L66" s="314"/>
      <c r="M66" s="314"/>
      <c r="N66" s="314"/>
      <c r="O66" s="314"/>
    </row>
    <row r="67" ht="15.75" customHeight="1">
      <c r="A67" s="314"/>
      <c r="B67" s="323"/>
      <c r="C67" s="314"/>
      <c r="D67" s="314"/>
      <c r="E67" s="314"/>
      <c r="F67" s="314"/>
      <c r="G67" s="314"/>
      <c r="H67" s="316"/>
      <c r="I67" s="316"/>
      <c r="J67" s="314"/>
      <c r="K67" s="314"/>
      <c r="L67" s="314"/>
      <c r="M67" s="314"/>
      <c r="N67" s="314"/>
      <c r="O67" s="314"/>
    </row>
    <row r="68" ht="15.75" customHeight="1">
      <c r="A68" s="314"/>
      <c r="B68" s="323"/>
      <c r="C68" s="314"/>
      <c r="D68" s="314"/>
      <c r="E68" s="314"/>
      <c r="F68" s="314"/>
      <c r="G68" s="314"/>
      <c r="H68" s="316"/>
      <c r="I68" s="316"/>
      <c r="J68" s="314"/>
      <c r="K68" s="314"/>
      <c r="L68" s="314"/>
      <c r="M68" s="314"/>
      <c r="N68" s="314"/>
      <c r="O68" s="314"/>
    </row>
    <row r="69" ht="15.75" customHeight="1">
      <c r="A69" s="314"/>
      <c r="B69" s="323"/>
      <c r="C69" s="314"/>
      <c r="D69" s="314"/>
      <c r="E69" s="314"/>
      <c r="F69" s="314"/>
      <c r="G69" s="314"/>
      <c r="H69" s="316"/>
      <c r="I69" s="316"/>
      <c r="J69" s="314"/>
      <c r="K69" s="314"/>
      <c r="L69" s="314"/>
      <c r="M69" s="314"/>
      <c r="N69" s="314"/>
      <c r="O69" s="314"/>
    </row>
    <row r="70" ht="15.75" customHeight="1">
      <c r="A70" s="314"/>
      <c r="B70" s="323"/>
      <c r="C70" s="314"/>
      <c r="D70" s="314"/>
      <c r="E70" s="314"/>
      <c r="F70" s="314"/>
      <c r="G70" s="314"/>
      <c r="H70" s="316"/>
      <c r="I70" s="316"/>
      <c r="J70" s="314"/>
      <c r="K70" s="314"/>
      <c r="L70" s="314"/>
      <c r="M70" s="314"/>
      <c r="N70" s="314"/>
      <c r="O70" s="314"/>
    </row>
    <row r="71" ht="15.75" customHeight="1">
      <c r="A71" s="314"/>
      <c r="B71" s="323"/>
      <c r="C71" s="314"/>
      <c r="D71" s="314"/>
      <c r="E71" s="314"/>
      <c r="F71" s="314"/>
      <c r="G71" s="314"/>
      <c r="H71" s="316"/>
      <c r="I71" s="316"/>
      <c r="J71" s="314"/>
      <c r="K71" s="314"/>
      <c r="L71" s="314"/>
      <c r="M71" s="314"/>
      <c r="N71" s="314"/>
      <c r="O71" s="314"/>
    </row>
    <row r="72" ht="15.75" customHeight="1">
      <c r="A72" s="314"/>
      <c r="B72" s="323"/>
      <c r="C72" s="314"/>
      <c r="D72" s="314"/>
      <c r="E72" s="314"/>
      <c r="F72" s="314"/>
      <c r="G72" s="314"/>
      <c r="H72" s="316"/>
      <c r="I72" s="316"/>
      <c r="J72" s="314"/>
      <c r="K72" s="314"/>
      <c r="L72" s="314"/>
      <c r="M72" s="314"/>
      <c r="N72" s="314"/>
      <c r="O72" s="314"/>
    </row>
    <row r="73" ht="15.75" customHeight="1">
      <c r="A73" s="314"/>
      <c r="B73" s="323"/>
      <c r="C73" s="314"/>
      <c r="D73" s="314"/>
      <c r="E73" s="314"/>
      <c r="F73" s="314"/>
      <c r="G73" s="314"/>
      <c r="H73" s="316"/>
      <c r="I73" s="316"/>
      <c r="J73" s="314"/>
      <c r="K73" s="314"/>
      <c r="L73" s="314"/>
      <c r="M73" s="314"/>
      <c r="N73" s="314"/>
      <c r="O73" s="314"/>
    </row>
    <row r="74" ht="15.75" customHeight="1">
      <c r="A74" s="314"/>
      <c r="B74" s="323"/>
      <c r="C74" s="314"/>
      <c r="D74" s="314"/>
      <c r="E74" s="314"/>
      <c r="F74" s="314"/>
      <c r="G74" s="314"/>
      <c r="H74" s="316"/>
      <c r="I74" s="316"/>
      <c r="J74" s="314"/>
      <c r="K74" s="314"/>
      <c r="L74" s="314"/>
      <c r="M74" s="314"/>
      <c r="N74" s="314"/>
      <c r="O74" s="314"/>
    </row>
    <row r="75" ht="15.75" customHeight="1">
      <c r="A75" s="314"/>
      <c r="B75" s="323"/>
      <c r="C75" s="314"/>
      <c r="D75" s="314"/>
      <c r="E75" s="314"/>
      <c r="F75" s="314"/>
      <c r="G75" s="314"/>
      <c r="H75" s="316"/>
      <c r="I75" s="316"/>
      <c r="J75" s="314"/>
      <c r="K75" s="314"/>
      <c r="L75" s="314"/>
      <c r="M75" s="314"/>
      <c r="N75" s="314"/>
      <c r="O75" s="314"/>
    </row>
    <row r="76" ht="15.75" customHeight="1">
      <c r="A76" s="314"/>
      <c r="B76" s="323"/>
      <c r="C76" s="314"/>
      <c r="D76" s="314"/>
      <c r="E76" s="314"/>
      <c r="F76" s="314"/>
      <c r="G76" s="314"/>
      <c r="H76" s="316"/>
      <c r="I76" s="316"/>
      <c r="J76" s="314"/>
      <c r="K76" s="314"/>
      <c r="L76" s="314"/>
      <c r="M76" s="314"/>
      <c r="N76" s="314"/>
      <c r="O76" s="314"/>
    </row>
    <row r="77" ht="15.75" customHeight="1">
      <c r="A77" s="314"/>
      <c r="B77" s="323"/>
      <c r="C77" s="314"/>
      <c r="D77" s="314"/>
      <c r="E77" s="314"/>
      <c r="F77" s="314"/>
      <c r="G77" s="314"/>
      <c r="H77" s="316"/>
      <c r="I77" s="316"/>
      <c r="J77" s="314"/>
      <c r="K77" s="314"/>
      <c r="L77" s="314"/>
      <c r="M77" s="314"/>
      <c r="N77" s="314"/>
      <c r="O77" s="314"/>
    </row>
    <row r="78" ht="15.75" customHeight="1">
      <c r="A78" s="314"/>
      <c r="B78" s="323"/>
      <c r="C78" s="314"/>
      <c r="D78" s="314"/>
      <c r="E78" s="314"/>
      <c r="F78" s="314"/>
      <c r="G78" s="314"/>
      <c r="H78" s="316"/>
      <c r="I78" s="316"/>
      <c r="J78" s="314"/>
      <c r="K78" s="314"/>
      <c r="L78" s="314"/>
      <c r="M78" s="314"/>
      <c r="N78" s="314"/>
      <c r="O78" s="314"/>
    </row>
    <row r="79" ht="15.75" customHeight="1">
      <c r="A79" s="314"/>
      <c r="B79" s="323"/>
      <c r="C79" s="314"/>
      <c r="D79" s="314"/>
      <c r="E79" s="314"/>
      <c r="F79" s="314"/>
      <c r="G79" s="314"/>
      <c r="H79" s="316"/>
      <c r="I79" s="316"/>
      <c r="J79" s="314"/>
      <c r="K79" s="314"/>
      <c r="L79" s="314"/>
      <c r="M79" s="314"/>
      <c r="N79" s="314"/>
      <c r="O79" s="314"/>
    </row>
    <row r="80" ht="15.75" customHeight="1">
      <c r="A80" s="314"/>
      <c r="B80" s="323"/>
      <c r="C80" s="314"/>
      <c r="D80" s="314"/>
      <c r="E80" s="314"/>
      <c r="F80" s="314"/>
      <c r="G80" s="314"/>
      <c r="H80" s="316"/>
      <c r="I80" s="316"/>
      <c r="J80" s="314"/>
      <c r="K80" s="314"/>
      <c r="L80" s="314"/>
      <c r="M80" s="314"/>
      <c r="N80" s="314"/>
      <c r="O80" s="314"/>
    </row>
    <row r="81" ht="15.75" customHeight="1">
      <c r="A81" s="314"/>
      <c r="B81" s="323"/>
      <c r="C81" s="314"/>
      <c r="D81" s="314"/>
      <c r="E81" s="314"/>
      <c r="F81" s="314"/>
      <c r="G81" s="314"/>
      <c r="H81" s="316"/>
      <c r="I81" s="316"/>
      <c r="J81" s="314"/>
      <c r="K81" s="314"/>
      <c r="L81" s="314"/>
      <c r="M81" s="314"/>
      <c r="N81" s="314"/>
      <c r="O81" s="314"/>
    </row>
    <row r="82" ht="15.75" customHeight="1">
      <c r="A82" s="314"/>
      <c r="B82" s="323"/>
      <c r="C82" s="314"/>
      <c r="D82" s="314"/>
      <c r="E82" s="314"/>
      <c r="F82" s="314"/>
      <c r="G82" s="314"/>
      <c r="H82" s="316"/>
      <c r="I82" s="316"/>
      <c r="J82" s="314"/>
      <c r="K82" s="314"/>
      <c r="L82" s="314"/>
      <c r="M82" s="314"/>
      <c r="N82" s="314"/>
      <c r="O82" s="314"/>
    </row>
    <row r="83" ht="15.75" customHeight="1">
      <c r="A83" s="314"/>
      <c r="B83" s="323"/>
      <c r="C83" s="314"/>
      <c r="D83" s="314"/>
      <c r="E83" s="314"/>
      <c r="F83" s="314"/>
      <c r="G83" s="314"/>
      <c r="H83" s="316"/>
      <c r="I83" s="316"/>
      <c r="J83" s="314"/>
      <c r="K83" s="314"/>
      <c r="L83" s="314"/>
      <c r="M83" s="314"/>
      <c r="N83" s="314"/>
      <c r="O83" s="314"/>
    </row>
    <row r="84" ht="15.75" customHeight="1">
      <c r="A84" s="314"/>
      <c r="B84" s="323"/>
      <c r="C84" s="314"/>
      <c r="D84" s="314"/>
      <c r="E84" s="314"/>
      <c r="F84" s="314"/>
      <c r="G84" s="314"/>
      <c r="H84" s="316"/>
      <c r="I84" s="316"/>
      <c r="J84" s="314"/>
      <c r="K84" s="314"/>
      <c r="L84" s="314"/>
      <c r="M84" s="314"/>
      <c r="N84" s="314"/>
      <c r="O84" s="314"/>
    </row>
    <row r="85" ht="15.75" customHeight="1">
      <c r="A85" s="314"/>
      <c r="B85" s="323"/>
      <c r="C85" s="314"/>
      <c r="D85" s="314"/>
      <c r="E85" s="314"/>
      <c r="F85" s="314"/>
      <c r="G85" s="314"/>
      <c r="H85" s="316"/>
      <c r="I85" s="316"/>
      <c r="J85" s="314"/>
      <c r="K85" s="314"/>
      <c r="L85" s="314"/>
      <c r="M85" s="314"/>
      <c r="N85" s="314"/>
      <c r="O85" s="314"/>
    </row>
    <row r="86" ht="15.75" customHeight="1">
      <c r="A86" s="314"/>
      <c r="B86" s="323"/>
      <c r="C86" s="314"/>
      <c r="D86" s="314"/>
      <c r="E86" s="314"/>
      <c r="F86" s="314"/>
      <c r="G86" s="314"/>
      <c r="H86" s="316"/>
      <c r="I86" s="316"/>
      <c r="J86" s="314"/>
      <c r="K86" s="314"/>
      <c r="L86" s="314"/>
      <c r="M86" s="314"/>
      <c r="N86" s="314"/>
      <c r="O86" s="314"/>
    </row>
    <row r="87" ht="15.75" customHeight="1">
      <c r="A87" s="314"/>
      <c r="B87" s="323"/>
      <c r="C87" s="314"/>
      <c r="D87" s="314"/>
      <c r="E87" s="314"/>
      <c r="F87" s="314"/>
      <c r="G87" s="314"/>
      <c r="H87" s="316"/>
      <c r="I87" s="316"/>
      <c r="J87" s="314"/>
      <c r="K87" s="314"/>
      <c r="L87" s="314"/>
      <c r="M87" s="314"/>
      <c r="N87" s="314"/>
      <c r="O87" s="314"/>
    </row>
    <row r="88" ht="15.75" customHeight="1">
      <c r="A88" s="314"/>
      <c r="B88" s="323"/>
      <c r="C88" s="314"/>
      <c r="D88" s="314"/>
      <c r="E88" s="314"/>
      <c r="F88" s="314"/>
      <c r="G88" s="314"/>
      <c r="H88" s="316"/>
      <c r="I88" s="316"/>
      <c r="J88" s="314"/>
      <c r="K88" s="314"/>
      <c r="L88" s="314"/>
      <c r="M88" s="314"/>
      <c r="N88" s="314"/>
      <c r="O88" s="314"/>
    </row>
    <row r="89" ht="15.75" customHeight="1">
      <c r="A89" s="314"/>
      <c r="B89" s="323"/>
      <c r="C89" s="314"/>
      <c r="D89" s="314"/>
      <c r="E89" s="314"/>
      <c r="F89" s="314"/>
      <c r="G89" s="314"/>
      <c r="H89" s="316"/>
      <c r="I89" s="316"/>
      <c r="J89" s="314"/>
      <c r="K89" s="314"/>
      <c r="L89" s="314"/>
      <c r="M89" s="314"/>
      <c r="N89" s="314"/>
      <c r="O89" s="314"/>
    </row>
    <row r="90" ht="15.75" customHeight="1">
      <c r="A90" s="314"/>
      <c r="B90" s="323"/>
      <c r="C90" s="314"/>
      <c r="D90" s="314"/>
      <c r="E90" s="314"/>
      <c r="F90" s="314"/>
      <c r="G90" s="314"/>
      <c r="H90" s="316"/>
      <c r="I90" s="316"/>
      <c r="J90" s="314"/>
      <c r="K90" s="314"/>
      <c r="L90" s="314"/>
      <c r="M90" s="314"/>
      <c r="N90" s="314"/>
      <c r="O90" s="314"/>
    </row>
    <row r="91" ht="15.75" customHeight="1">
      <c r="A91" s="314"/>
      <c r="B91" s="323"/>
      <c r="C91" s="314"/>
      <c r="D91" s="314"/>
      <c r="E91" s="314"/>
      <c r="F91" s="314"/>
      <c r="G91" s="314"/>
      <c r="H91" s="316"/>
      <c r="I91" s="316"/>
      <c r="J91" s="314"/>
      <c r="K91" s="314"/>
      <c r="L91" s="314"/>
      <c r="M91" s="314"/>
      <c r="N91" s="314"/>
      <c r="O91" s="314"/>
    </row>
    <row r="92" ht="15.75" customHeight="1">
      <c r="A92" s="314"/>
      <c r="B92" s="323"/>
      <c r="C92" s="314"/>
      <c r="D92" s="314"/>
      <c r="E92" s="314"/>
      <c r="F92" s="314"/>
      <c r="G92" s="314"/>
      <c r="H92" s="316"/>
      <c r="I92" s="316"/>
      <c r="J92" s="314"/>
      <c r="K92" s="314"/>
      <c r="L92" s="314"/>
      <c r="M92" s="314"/>
      <c r="N92" s="314"/>
      <c r="O92" s="314"/>
    </row>
    <row r="93" ht="15.75" customHeight="1">
      <c r="A93" s="314"/>
      <c r="B93" s="323"/>
      <c r="C93" s="314"/>
      <c r="D93" s="314"/>
      <c r="E93" s="314"/>
      <c r="F93" s="314"/>
      <c r="G93" s="314"/>
      <c r="H93" s="316"/>
      <c r="I93" s="316"/>
      <c r="J93" s="314"/>
      <c r="K93" s="314"/>
      <c r="L93" s="314"/>
      <c r="M93" s="314"/>
      <c r="N93" s="314"/>
      <c r="O93" s="314"/>
    </row>
    <row r="94" ht="15.75" customHeight="1">
      <c r="A94" s="314"/>
      <c r="B94" s="323"/>
      <c r="C94" s="314"/>
      <c r="D94" s="314"/>
      <c r="E94" s="314"/>
      <c r="F94" s="314"/>
      <c r="G94" s="314"/>
      <c r="H94" s="316"/>
      <c r="I94" s="316"/>
      <c r="J94" s="314"/>
      <c r="K94" s="314"/>
      <c r="L94" s="314"/>
      <c r="M94" s="314"/>
      <c r="N94" s="314"/>
      <c r="O94" s="314"/>
    </row>
    <row r="95" ht="15.75" customHeight="1">
      <c r="A95" s="314"/>
      <c r="B95" s="323"/>
      <c r="C95" s="314"/>
      <c r="D95" s="314"/>
      <c r="E95" s="314"/>
      <c r="F95" s="314"/>
      <c r="G95" s="314"/>
      <c r="H95" s="316"/>
      <c r="I95" s="316"/>
      <c r="J95" s="314"/>
      <c r="K95" s="314"/>
      <c r="L95" s="314"/>
      <c r="M95" s="314"/>
      <c r="N95" s="314"/>
      <c r="O95" s="314"/>
    </row>
    <row r="96" ht="15.75" customHeight="1">
      <c r="A96" s="314"/>
      <c r="B96" s="323"/>
      <c r="C96" s="314"/>
      <c r="D96" s="314"/>
      <c r="E96" s="314"/>
      <c r="F96" s="314"/>
      <c r="G96" s="314"/>
      <c r="H96" s="316"/>
      <c r="I96" s="316"/>
      <c r="J96" s="314"/>
      <c r="K96" s="314"/>
      <c r="L96" s="314"/>
      <c r="M96" s="314"/>
      <c r="N96" s="314"/>
      <c r="O96" s="314"/>
    </row>
    <row r="97" ht="15.75" customHeight="1">
      <c r="A97" s="314"/>
      <c r="B97" s="323"/>
      <c r="C97" s="314"/>
      <c r="D97" s="314"/>
      <c r="E97" s="314"/>
      <c r="F97" s="314"/>
      <c r="G97" s="314"/>
      <c r="H97" s="316"/>
      <c r="I97" s="316"/>
      <c r="J97" s="314"/>
      <c r="K97" s="314"/>
      <c r="L97" s="314"/>
      <c r="M97" s="314"/>
      <c r="N97" s="314"/>
      <c r="O97" s="314"/>
    </row>
    <row r="98" ht="15.75" customHeight="1">
      <c r="B98" s="284"/>
      <c r="C98" s="284"/>
      <c r="D98" s="284"/>
      <c r="H98" s="326"/>
      <c r="I98" s="326"/>
    </row>
    <row r="99" ht="15.75" customHeight="1">
      <c r="B99" s="284"/>
      <c r="C99" s="284"/>
      <c r="D99" s="284"/>
      <c r="H99" s="326"/>
      <c r="I99" s="326"/>
    </row>
    <row r="100" ht="15.75" customHeight="1">
      <c r="B100" s="284"/>
      <c r="C100" s="284"/>
      <c r="D100" s="284"/>
      <c r="H100" s="326"/>
      <c r="I100" s="326"/>
    </row>
    <row r="101" ht="15.75" customHeight="1">
      <c r="B101" s="284"/>
      <c r="C101" s="284"/>
      <c r="D101" s="284"/>
      <c r="H101" s="326"/>
      <c r="I101" s="326"/>
    </row>
    <row r="102" ht="15.75" customHeight="1">
      <c r="C102" s="284"/>
      <c r="D102" s="284"/>
      <c r="H102" s="326"/>
      <c r="I102" s="326"/>
    </row>
    <row r="103" ht="15.75" customHeight="1">
      <c r="H103" s="326"/>
      <c r="I103" s="326"/>
    </row>
    <row r="104" ht="15.75" customHeight="1">
      <c r="H104" s="326"/>
      <c r="I104" s="326"/>
    </row>
    <row r="105" ht="15.75" customHeight="1">
      <c r="H105" s="326"/>
      <c r="I105" s="326"/>
    </row>
    <row r="106" ht="15.75" customHeight="1">
      <c r="H106" s="326"/>
      <c r="I106" s="326"/>
    </row>
    <row r="107" ht="15.75" customHeight="1">
      <c r="H107" s="326"/>
      <c r="I107" s="326"/>
    </row>
    <row r="108" ht="15.75" customHeight="1">
      <c r="H108" s="326"/>
      <c r="I108" s="326"/>
    </row>
    <row r="109" ht="15.75" customHeight="1">
      <c r="H109" s="326"/>
      <c r="I109" s="326"/>
    </row>
    <row r="110" ht="15.75" customHeight="1">
      <c r="H110" s="326"/>
      <c r="I110" s="326"/>
    </row>
    <row r="111" ht="15.75" customHeight="1">
      <c r="H111" s="326"/>
      <c r="I111" s="326"/>
    </row>
    <row r="112" ht="15.75" customHeight="1">
      <c r="H112" s="326"/>
      <c r="I112" s="326"/>
    </row>
    <row r="113" ht="15.75" customHeight="1">
      <c r="H113" s="326"/>
      <c r="I113" s="326"/>
    </row>
    <row r="114" ht="15.75" customHeight="1">
      <c r="H114" s="326"/>
      <c r="I114" s="326"/>
    </row>
    <row r="115" ht="15.75" customHeight="1">
      <c r="H115" s="326"/>
      <c r="I115" s="326"/>
    </row>
    <row r="116" ht="15.75" customHeight="1">
      <c r="H116" s="326"/>
      <c r="I116" s="326"/>
    </row>
    <row r="117" ht="15.75" customHeight="1">
      <c r="H117" s="326"/>
      <c r="I117" s="326"/>
    </row>
    <row r="118" ht="15.75" customHeight="1">
      <c r="H118" s="326"/>
      <c r="I118" s="326"/>
    </row>
    <row r="119" ht="15.75" customHeight="1">
      <c r="H119" s="326"/>
      <c r="I119" s="326"/>
    </row>
    <row r="120" ht="15.75" customHeight="1">
      <c r="H120" s="326"/>
      <c r="I120" s="326"/>
    </row>
    <row r="121" ht="15.75" customHeight="1">
      <c r="H121" s="326"/>
      <c r="I121" s="326"/>
    </row>
    <row r="122" ht="15.75" customHeight="1">
      <c r="H122" s="326"/>
      <c r="I122" s="326"/>
    </row>
    <row r="123" ht="15.75" customHeight="1">
      <c r="H123" s="326"/>
      <c r="I123" s="326"/>
    </row>
    <row r="124" ht="15.75" customHeight="1">
      <c r="H124" s="326"/>
      <c r="I124" s="326"/>
    </row>
    <row r="125" ht="15.75" customHeight="1">
      <c r="H125" s="326"/>
      <c r="I125" s="326"/>
    </row>
    <row r="126" ht="15.75" customHeight="1">
      <c r="H126" s="326"/>
      <c r="I126" s="326"/>
    </row>
    <row r="127" ht="15.75" customHeight="1">
      <c r="H127" s="326"/>
      <c r="I127" s="326"/>
    </row>
    <row r="128" ht="15.75" customHeight="1">
      <c r="H128" s="326"/>
      <c r="I128" s="326"/>
    </row>
    <row r="129" ht="15.75" customHeight="1">
      <c r="H129" s="326"/>
      <c r="I129" s="326"/>
    </row>
    <row r="130" ht="15.75" customHeight="1">
      <c r="H130" s="326"/>
      <c r="I130" s="326"/>
    </row>
    <row r="131" ht="15.75" customHeight="1">
      <c r="H131" s="326"/>
      <c r="I131" s="326"/>
    </row>
    <row r="132" ht="15.75" customHeight="1">
      <c r="H132" s="326"/>
      <c r="I132" s="326"/>
    </row>
    <row r="133" ht="15.75" customHeight="1">
      <c r="H133" s="326"/>
      <c r="I133" s="326"/>
    </row>
    <row r="134" ht="15.75" customHeight="1">
      <c r="H134" s="326"/>
      <c r="I134" s="326"/>
    </row>
    <row r="135" ht="15.75" customHeight="1">
      <c r="H135" s="326"/>
      <c r="I135" s="326"/>
    </row>
    <row r="136" ht="15.75" customHeight="1">
      <c r="H136" s="326"/>
      <c r="I136" s="326"/>
    </row>
    <row r="137" ht="15.75" customHeight="1">
      <c r="H137" s="326"/>
      <c r="I137" s="326"/>
    </row>
    <row r="138" ht="15.75" customHeight="1">
      <c r="H138" s="326"/>
      <c r="I138" s="326"/>
    </row>
    <row r="139" ht="15.75" customHeight="1">
      <c r="H139" s="326"/>
      <c r="I139" s="326"/>
    </row>
    <row r="140" ht="15.75" customHeight="1">
      <c r="H140" s="326"/>
      <c r="I140" s="326"/>
    </row>
    <row r="141" ht="15.75" customHeight="1">
      <c r="H141" s="326"/>
      <c r="I141" s="326"/>
    </row>
    <row r="142" ht="15.75" customHeight="1">
      <c r="H142" s="326"/>
      <c r="I142" s="326"/>
    </row>
    <row r="143" ht="15.75" customHeight="1">
      <c r="H143" s="326"/>
      <c r="I143" s="326"/>
    </row>
    <row r="144" ht="15.75" customHeight="1">
      <c r="H144" s="326"/>
      <c r="I144" s="326"/>
    </row>
    <row r="145" ht="15.75" customHeight="1">
      <c r="H145" s="326"/>
      <c r="I145" s="326"/>
    </row>
    <row r="146" ht="15.75" customHeight="1">
      <c r="H146" s="326"/>
      <c r="I146" s="326"/>
    </row>
    <row r="147" ht="15.75" customHeight="1">
      <c r="H147" s="326"/>
      <c r="I147" s="326"/>
    </row>
    <row r="148" ht="15.75" customHeight="1">
      <c r="H148" s="326"/>
      <c r="I148" s="326"/>
    </row>
    <row r="149" ht="15.75" customHeight="1">
      <c r="H149" s="326"/>
      <c r="I149" s="326"/>
    </row>
    <row r="150" ht="15.75" customHeight="1">
      <c r="H150" s="326"/>
      <c r="I150" s="326"/>
    </row>
    <row r="151" ht="15.75" customHeight="1">
      <c r="H151" s="326"/>
      <c r="I151" s="326"/>
    </row>
    <row r="152" ht="15.75" customHeight="1">
      <c r="H152" s="326"/>
      <c r="I152" s="326"/>
    </row>
    <row r="153" ht="15.75" customHeight="1">
      <c r="H153" s="326"/>
      <c r="I153" s="326"/>
    </row>
    <row r="154" ht="15.75" customHeight="1">
      <c r="H154" s="326"/>
      <c r="I154" s="326"/>
    </row>
    <row r="155" ht="15.75" customHeight="1">
      <c r="H155" s="326"/>
      <c r="I155" s="326"/>
    </row>
    <row r="156" ht="15.75" customHeight="1">
      <c r="H156" s="326"/>
      <c r="I156" s="326"/>
    </row>
    <row r="157" ht="15.75" customHeight="1">
      <c r="H157" s="326"/>
      <c r="I157" s="326"/>
    </row>
    <row r="158" ht="15.75" customHeight="1">
      <c r="H158" s="326"/>
      <c r="I158" s="326"/>
    </row>
    <row r="159" ht="15.75" customHeight="1">
      <c r="H159" s="326"/>
      <c r="I159" s="326"/>
    </row>
    <row r="160" ht="15.75" customHeight="1">
      <c r="H160" s="326"/>
      <c r="I160" s="326"/>
    </row>
    <row r="161" ht="15.75" customHeight="1">
      <c r="H161" s="326"/>
      <c r="I161" s="326"/>
    </row>
    <row r="162" ht="15.75" customHeight="1">
      <c r="H162" s="326"/>
      <c r="I162" s="326"/>
    </row>
    <row r="163" ht="15.75" customHeight="1">
      <c r="H163" s="326"/>
      <c r="I163" s="326"/>
    </row>
    <row r="164" ht="15.75" customHeight="1">
      <c r="H164" s="326"/>
      <c r="I164" s="326"/>
    </row>
    <row r="165" ht="15.75" customHeight="1">
      <c r="H165" s="326"/>
      <c r="I165" s="326"/>
    </row>
    <row r="166" ht="15.75" customHeight="1">
      <c r="H166" s="326"/>
      <c r="I166" s="326"/>
    </row>
    <row r="167" ht="15.75" customHeight="1">
      <c r="H167" s="326"/>
      <c r="I167" s="326"/>
    </row>
    <row r="168" ht="15.75" customHeight="1">
      <c r="H168" s="326"/>
      <c r="I168" s="326"/>
    </row>
    <row r="169" ht="15.75" customHeight="1">
      <c r="H169" s="326"/>
      <c r="I169" s="326"/>
    </row>
    <row r="170" ht="15.75" customHeight="1">
      <c r="H170" s="326"/>
      <c r="I170" s="326"/>
    </row>
    <row r="171" ht="15.75" customHeight="1">
      <c r="H171" s="326"/>
      <c r="I171" s="326"/>
    </row>
    <row r="172" ht="15.75" customHeight="1">
      <c r="H172" s="326"/>
      <c r="I172" s="326"/>
    </row>
    <row r="173" ht="15.75" customHeight="1">
      <c r="H173" s="326"/>
      <c r="I173" s="326"/>
    </row>
    <row r="174" ht="15.75" customHeight="1">
      <c r="H174" s="326"/>
      <c r="I174" s="326"/>
    </row>
    <row r="175" ht="15.75" customHeight="1">
      <c r="H175" s="326"/>
      <c r="I175" s="326"/>
    </row>
    <row r="176" ht="15.75" customHeight="1">
      <c r="H176" s="326"/>
      <c r="I176" s="326"/>
    </row>
    <row r="177" ht="15.75" customHeight="1">
      <c r="H177" s="326"/>
      <c r="I177" s="326"/>
    </row>
    <row r="178" ht="15.75" customHeight="1">
      <c r="H178" s="326"/>
      <c r="I178" s="326"/>
    </row>
    <row r="179" ht="15.75" customHeight="1">
      <c r="H179" s="326"/>
      <c r="I179" s="326"/>
    </row>
    <row r="180" ht="15.75" customHeight="1">
      <c r="H180" s="326"/>
      <c r="I180" s="326"/>
    </row>
    <row r="181" ht="15.75" customHeight="1">
      <c r="H181" s="326"/>
      <c r="I181" s="326"/>
    </row>
    <row r="182" ht="15.75" customHeight="1">
      <c r="H182" s="326"/>
      <c r="I182" s="326"/>
    </row>
    <row r="183" ht="15.75" customHeight="1">
      <c r="H183" s="326"/>
      <c r="I183" s="326"/>
    </row>
    <row r="184" ht="15.75" customHeight="1">
      <c r="H184" s="326"/>
      <c r="I184" s="326"/>
    </row>
    <row r="185" ht="15.75" customHeight="1">
      <c r="H185" s="326"/>
      <c r="I185" s="326"/>
    </row>
    <row r="186" ht="15.75" customHeight="1">
      <c r="H186" s="326"/>
      <c r="I186" s="326"/>
    </row>
    <row r="187" ht="15.75" customHeight="1">
      <c r="H187" s="326"/>
      <c r="I187" s="326"/>
    </row>
    <row r="188" ht="15.75" customHeight="1">
      <c r="H188" s="326"/>
      <c r="I188" s="326"/>
    </row>
    <row r="189" ht="15.75" customHeight="1">
      <c r="H189" s="326"/>
      <c r="I189" s="326"/>
    </row>
    <row r="190" ht="15.75" customHeight="1">
      <c r="H190" s="326"/>
      <c r="I190" s="326"/>
    </row>
    <row r="191" ht="15.75" customHeight="1">
      <c r="H191" s="326"/>
      <c r="I191" s="326"/>
    </row>
    <row r="192" ht="15.75" customHeight="1">
      <c r="H192" s="326"/>
      <c r="I192" s="326"/>
    </row>
    <row r="193" ht="15.75" customHeight="1">
      <c r="H193" s="326"/>
      <c r="I193" s="326"/>
    </row>
    <row r="194" ht="15.75" customHeight="1">
      <c r="H194" s="326"/>
      <c r="I194" s="326"/>
    </row>
    <row r="195" ht="15.75" customHeight="1">
      <c r="H195" s="326"/>
      <c r="I195" s="326"/>
    </row>
    <row r="196" ht="15.75" customHeight="1">
      <c r="H196" s="326"/>
      <c r="I196" s="326"/>
    </row>
    <row r="197" ht="15.75" customHeight="1">
      <c r="H197" s="326"/>
      <c r="I197" s="326"/>
    </row>
    <row r="198" ht="15.75" customHeight="1">
      <c r="H198" s="326"/>
      <c r="I198" s="326"/>
    </row>
    <row r="199" ht="15.75" customHeight="1">
      <c r="H199" s="326"/>
      <c r="I199" s="326"/>
    </row>
    <row r="200" ht="15.75" customHeight="1">
      <c r="H200" s="326"/>
      <c r="I200" s="326"/>
    </row>
    <row r="201" ht="15.75" customHeight="1">
      <c r="H201" s="326"/>
      <c r="I201" s="326"/>
    </row>
    <row r="202" ht="15.75" customHeight="1">
      <c r="H202" s="326"/>
      <c r="I202" s="326"/>
    </row>
    <row r="203" ht="15.75" customHeight="1">
      <c r="H203" s="326"/>
      <c r="I203" s="326"/>
    </row>
    <row r="204" ht="15.75" customHeight="1">
      <c r="H204" s="326"/>
      <c r="I204" s="326"/>
    </row>
    <row r="205" ht="15.75" customHeight="1">
      <c r="H205" s="326"/>
      <c r="I205" s="326"/>
    </row>
    <row r="206" ht="15.75" customHeight="1">
      <c r="H206" s="326"/>
      <c r="I206" s="326"/>
    </row>
    <row r="207" ht="15.75" customHeight="1">
      <c r="H207" s="326"/>
      <c r="I207" s="326"/>
    </row>
    <row r="208" ht="15.75" customHeight="1">
      <c r="H208" s="326"/>
      <c r="I208" s="326"/>
    </row>
    <row r="209" ht="15.75" customHeight="1">
      <c r="H209" s="326"/>
      <c r="I209" s="326"/>
    </row>
    <row r="210" ht="15.75" customHeight="1">
      <c r="H210" s="326"/>
      <c r="I210" s="326"/>
    </row>
    <row r="211" ht="15.75" customHeight="1">
      <c r="H211" s="326"/>
      <c r="I211" s="326"/>
    </row>
    <row r="212" ht="15.75" customHeight="1">
      <c r="H212" s="326"/>
      <c r="I212" s="326"/>
    </row>
    <row r="213" ht="15.75" customHeight="1">
      <c r="H213" s="326"/>
      <c r="I213" s="326"/>
    </row>
    <row r="214" ht="15.75" customHeight="1">
      <c r="H214" s="326"/>
      <c r="I214" s="326"/>
    </row>
    <row r="215" ht="15.75" customHeight="1">
      <c r="H215" s="326"/>
      <c r="I215" s="326"/>
    </row>
    <row r="216" ht="15.75" customHeight="1">
      <c r="H216" s="326"/>
      <c r="I216" s="326"/>
    </row>
    <row r="217" ht="15.75" customHeight="1">
      <c r="H217" s="326"/>
      <c r="I217" s="326"/>
    </row>
    <row r="218" ht="15.75" customHeight="1">
      <c r="H218" s="326"/>
      <c r="I218" s="326"/>
    </row>
    <row r="219" ht="15.75" customHeight="1">
      <c r="H219" s="326"/>
      <c r="I219" s="326"/>
    </row>
    <row r="220" ht="15.75" customHeight="1">
      <c r="H220" s="326"/>
      <c r="I220" s="3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conditionalFormatting sqref="A4:L102 M4">
    <cfRule type="expression" dxfId="1" priority="1">
      <formula>$G4&gt;$F4</formula>
    </cfRule>
  </conditionalFormatting>
  <dataValidations>
    <dataValidation type="list" allowBlank="1" sqref="B4:B97">
      <formula1>"1. 사업관리,2. 챗봇,3. 티켓관리,4. 기능개선,5. UXUI,6. SLA협약"</formula1>
    </dataValidation>
    <dataValidation type="list" allowBlank="1" sqref="D4:D102">
      <formula1>"접수,진행 중,완료,보류,취소,보완필요"</formula1>
    </dataValidation>
    <dataValidation type="list" allowBlank="1" sqref="B3 B98:B101">
      <formula1>"1. 사업관리,2. 데이터 연계 검증,3. 어드민,4. 챗봇,5. 티켓관리,6. 모바일,7. UX/UI,8. 유지보수"</formula1>
    </dataValidation>
    <dataValidation type="list" allowBlank="1" sqref="C4:C102">
      <formula1>"긴급,높음,보통,낮음"</formula1>
    </dataValidation>
  </dataValidations>
  <hyperlinks>
    <hyperlink r:id="rId1" ref="J5"/>
  </hyperlinks>
  <printOptions/>
  <pageMargins bottom="0.75" footer="0.0" header="0.0" left="0.7" right="0.7" top="0.75"/>
  <pageSetup paperSize="9" orientation="portrait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4.43"/>
    <col customWidth="1" min="3" max="3" width="12.14"/>
    <col customWidth="1" min="4" max="4" width="8.43"/>
    <col customWidth="1" min="5" max="5" width="18.86"/>
    <col customWidth="1" min="6" max="6" width="40.86"/>
    <col customWidth="1" min="7" max="7" width="70.29"/>
    <col customWidth="1" min="8" max="8" width="16.43"/>
    <col customWidth="1" min="9" max="9" width="10.71"/>
    <col customWidth="1" min="10" max="11" width="13.14"/>
    <col customWidth="1" min="12" max="12" width="43.0"/>
  </cols>
  <sheetData>
    <row r="1" ht="42.75" customHeight="1">
      <c r="A1" s="327" t="s">
        <v>503</v>
      </c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</row>
    <row r="2" ht="39.0" customHeight="1">
      <c r="A2" s="329" t="s">
        <v>504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</row>
    <row r="3">
      <c r="A3" s="330" t="s">
        <v>505</v>
      </c>
      <c r="B3" s="330" t="s">
        <v>506</v>
      </c>
      <c r="C3" s="331" t="s">
        <v>507</v>
      </c>
      <c r="D3" s="331" t="s">
        <v>508</v>
      </c>
      <c r="E3" s="331" t="s">
        <v>509</v>
      </c>
      <c r="F3" s="332" t="s">
        <v>510</v>
      </c>
      <c r="G3" s="332" t="s">
        <v>511</v>
      </c>
      <c r="H3" s="333" t="s">
        <v>125</v>
      </c>
      <c r="I3" s="333" t="s">
        <v>512</v>
      </c>
      <c r="J3" s="333" t="s">
        <v>513</v>
      </c>
      <c r="K3" s="333" t="s">
        <v>514</v>
      </c>
      <c r="L3" s="334" t="s">
        <v>515</v>
      </c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</row>
    <row r="4">
      <c r="A4" s="335">
        <v>1.0</v>
      </c>
      <c r="B4" s="335" t="s">
        <v>516</v>
      </c>
      <c r="C4" s="335" t="s">
        <v>517</v>
      </c>
      <c r="D4" s="335" t="s">
        <v>518</v>
      </c>
      <c r="E4" s="336">
        <v>46030.0</v>
      </c>
      <c r="F4" s="337" t="s">
        <v>519</v>
      </c>
      <c r="G4" s="337" t="s">
        <v>520</v>
      </c>
      <c r="H4" s="335" t="s">
        <v>521</v>
      </c>
      <c r="I4" s="335" t="s">
        <v>467</v>
      </c>
      <c r="J4" s="336">
        <v>46051.0</v>
      </c>
      <c r="K4" s="336">
        <v>46051.0</v>
      </c>
      <c r="L4" s="337" t="s">
        <v>522</v>
      </c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</row>
    <row r="5">
      <c r="A5" s="335">
        <v>2.0</v>
      </c>
      <c r="B5" s="335" t="s">
        <v>523</v>
      </c>
      <c r="C5" s="335" t="s">
        <v>517</v>
      </c>
      <c r="D5" s="335" t="s">
        <v>518</v>
      </c>
      <c r="E5" s="336">
        <v>46028.0</v>
      </c>
      <c r="F5" s="337" t="s">
        <v>524</v>
      </c>
      <c r="G5" s="337" t="s">
        <v>525</v>
      </c>
      <c r="H5" s="335" t="s">
        <v>158</v>
      </c>
      <c r="I5" s="335" t="s">
        <v>467</v>
      </c>
      <c r="J5" s="335"/>
      <c r="K5" s="336">
        <v>46057.0</v>
      </c>
      <c r="L5" s="337" t="s">
        <v>526</v>
      </c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</row>
    <row r="6">
      <c r="A6" s="335">
        <v>3.0</v>
      </c>
      <c r="B6" s="335" t="s">
        <v>527</v>
      </c>
      <c r="C6" s="335" t="s">
        <v>528</v>
      </c>
      <c r="D6" s="335" t="s">
        <v>529</v>
      </c>
      <c r="E6" s="336">
        <v>46024.0</v>
      </c>
      <c r="F6" s="337" t="s">
        <v>530</v>
      </c>
      <c r="G6" s="337" t="s">
        <v>531</v>
      </c>
      <c r="H6" s="335" t="s">
        <v>521</v>
      </c>
      <c r="I6" s="335" t="s">
        <v>467</v>
      </c>
      <c r="J6" s="336">
        <v>46062.0</v>
      </c>
      <c r="K6" s="336">
        <v>46055.0</v>
      </c>
      <c r="L6" s="337" t="s">
        <v>532</v>
      </c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</row>
    <row r="7">
      <c r="A7" s="335">
        <v>4.0</v>
      </c>
      <c r="B7" s="335" t="s">
        <v>533</v>
      </c>
      <c r="C7" s="335" t="s">
        <v>517</v>
      </c>
      <c r="D7" s="335" t="s">
        <v>518</v>
      </c>
      <c r="E7" s="336">
        <v>46020.0</v>
      </c>
      <c r="F7" s="337" t="s">
        <v>534</v>
      </c>
      <c r="G7" s="337" t="s">
        <v>535</v>
      </c>
      <c r="H7" s="335" t="s">
        <v>158</v>
      </c>
      <c r="I7" s="335" t="s">
        <v>467</v>
      </c>
      <c r="J7" s="336">
        <v>46055.0</v>
      </c>
      <c r="K7" s="336">
        <v>46055.0</v>
      </c>
      <c r="L7" s="337" t="s">
        <v>536</v>
      </c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</row>
    <row r="8">
      <c r="A8" s="335">
        <v>5.0</v>
      </c>
      <c r="B8" s="335" t="s">
        <v>537</v>
      </c>
      <c r="C8" s="335" t="s">
        <v>517</v>
      </c>
      <c r="D8" s="335" t="s">
        <v>518</v>
      </c>
      <c r="E8" s="336">
        <v>46020.0</v>
      </c>
      <c r="F8" s="337" t="s">
        <v>538</v>
      </c>
      <c r="G8" s="337" t="s">
        <v>539</v>
      </c>
      <c r="H8" s="335" t="s">
        <v>158</v>
      </c>
      <c r="I8" s="335" t="s">
        <v>467</v>
      </c>
      <c r="J8" s="336">
        <v>46050.0</v>
      </c>
      <c r="K8" s="336">
        <v>46050.0</v>
      </c>
      <c r="L8" s="337" t="s">
        <v>540</v>
      </c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</row>
    <row r="9">
      <c r="A9" s="335">
        <v>6.0</v>
      </c>
      <c r="B9" s="335" t="s">
        <v>541</v>
      </c>
      <c r="C9" s="335" t="s">
        <v>517</v>
      </c>
      <c r="D9" s="335" t="s">
        <v>518</v>
      </c>
      <c r="E9" s="336">
        <v>46013.0</v>
      </c>
      <c r="F9" s="337" t="s">
        <v>542</v>
      </c>
      <c r="G9" s="337" t="s">
        <v>543</v>
      </c>
      <c r="H9" s="335" t="s">
        <v>158</v>
      </c>
      <c r="I9" s="335" t="s">
        <v>467</v>
      </c>
      <c r="J9" s="336">
        <v>46062.0</v>
      </c>
      <c r="K9" s="336">
        <v>46062.0</v>
      </c>
      <c r="L9" s="337" t="s">
        <v>544</v>
      </c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</row>
    <row r="10">
      <c r="A10" s="335">
        <v>7.0</v>
      </c>
      <c r="B10" s="335" t="s">
        <v>545</v>
      </c>
      <c r="C10" s="335" t="s">
        <v>517</v>
      </c>
      <c r="D10" s="335" t="s">
        <v>518</v>
      </c>
      <c r="E10" s="336">
        <v>46000.0</v>
      </c>
      <c r="F10" s="337" t="s">
        <v>546</v>
      </c>
      <c r="G10" s="337" t="s">
        <v>547</v>
      </c>
      <c r="H10" s="335" t="s">
        <v>521</v>
      </c>
      <c r="I10" s="335"/>
      <c r="J10" s="335"/>
      <c r="K10" s="335"/>
      <c r="L10" s="337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  <c r="X10" s="328"/>
      <c r="Y10" s="328"/>
      <c r="Z10" s="328"/>
    </row>
    <row r="11">
      <c r="A11" s="335">
        <v>8.0</v>
      </c>
      <c r="B11" s="335" t="s">
        <v>548</v>
      </c>
      <c r="C11" s="335" t="s">
        <v>517</v>
      </c>
      <c r="D11" s="335" t="s">
        <v>518</v>
      </c>
      <c r="E11" s="336">
        <v>45996.0</v>
      </c>
      <c r="F11" s="337" t="s">
        <v>549</v>
      </c>
      <c r="G11" s="337" t="s">
        <v>550</v>
      </c>
      <c r="H11" s="335" t="s">
        <v>521</v>
      </c>
      <c r="I11" s="335"/>
      <c r="J11" s="335"/>
      <c r="K11" s="335"/>
      <c r="L11" s="337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328"/>
      <c r="X11" s="328"/>
      <c r="Y11" s="328"/>
      <c r="Z11" s="328"/>
    </row>
    <row r="12">
      <c r="A12" s="335">
        <v>9.0</v>
      </c>
      <c r="B12" s="335" t="s">
        <v>551</v>
      </c>
      <c r="C12" s="335" t="s">
        <v>517</v>
      </c>
      <c r="D12" s="335" t="s">
        <v>518</v>
      </c>
      <c r="E12" s="336">
        <v>45989.0</v>
      </c>
      <c r="F12" s="337" t="s">
        <v>552</v>
      </c>
      <c r="G12" s="337" t="s">
        <v>553</v>
      </c>
      <c r="H12" s="335" t="s">
        <v>158</v>
      </c>
      <c r="I12" s="335" t="s">
        <v>467</v>
      </c>
      <c r="J12" s="336">
        <v>46051.0</v>
      </c>
      <c r="K12" s="336">
        <v>46051.0</v>
      </c>
      <c r="L12" s="337" t="s">
        <v>554</v>
      </c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328"/>
      <c r="X12" s="328"/>
      <c r="Y12" s="328"/>
      <c r="Z12" s="328"/>
    </row>
    <row r="13">
      <c r="A13" s="335">
        <v>10.0</v>
      </c>
      <c r="B13" s="335" t="s">
        <v>555</v>
      </c>
      <c r="C13" s="335" t="s">
        <v>517</v>
      </c>
      <c r="D13" s="335" t="s">
        <v>518</v>
      </c>
      <c r="E13" s="336">
        <v>45975.0</v>
      </c>
      <c r="F13" s="337" t="s">
        <v>556</v>
      </c>
      <c r="G13" s="337" t="s">
        <v>557</v>
      </c>
      <c r="H13" s="335" t="s">
        <v>521</v>
      </c>
      <c r="I13" s="335"/>
      <c r="J13" s="335"/>
      <c r="K13" s="335"/>
      <c r="L13" s="337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  <c r="X13" s="328"/>
      <c r="Y13" s="328"/>
      <c r="Z13" s="328"/>
    </row>
    <row r="14">
      <c r="A14" s="335">
        <v>11.0</v>
      </c>
      <c r="B14" s="335" t="s">
        <v>558</v>
      </c>
      <c r="C14" s="335" t="s">
        <v>528</v>
      </c>
      <c r="D14" s="335" t="s">
        <v>559</v>
      </c>
      <c r="E14" s="336">
        <v>46062.0</v>
      </c>
      <c r="F14" s="337" t="s">
        <v>560</v>
      </c>
      <c r="G14" s="337" t="s">
        <v>561</v>
      </c>
      <c r="H14" s="335" t="s">
        <v>158</v>
      </c>
      <c r="I14" s="335" t="s">
        <v>467</v>
      </c>
      <c r="J14" s="336">
        <v>46077.0</v>
      </c>
      <c r="K14" s="336">
        <v>46077.0</v>
      </c>
      <c r="L14" s="337" t="s">
        <v>562</v>
      </c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8"/>
      <c r="Z14" s="328"/>
    </row>
    <row r="15">
      <c r="A15" s="335">
        <v>12.0</v>
      </c>
      <c r="B15" s="335" t="s">
        <v>563</v>
      </c>
      <c r="C15" s="335" t="s">
        <v>517</v>
      </c>
      <c r="D15" s="335" t="s">
        <v>564</v>
      </c>
      <c r="E15" s="336">
        <v>46065.0</v>
      </c>
      <c r="F15" s="337" t="s">
        <v>565</v>
      </c>
      <c r="G15" s="337" t="s">
        <v>566</v>
      </c>
      <c r="H15" s="335" t="s">
        <v>158</v>
      </c>
      <c r="I15" s="335" t="s">
        <v>467</v>
      </c>
      <c r="J15" s="336">
        <v>46077.0</v>
      </c>
      <c r="K15" s="336">
        <v>46076.0</v>
      </c>
      <c r="L15" s="337" t="s">
        <v>567</v>
      </c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</row>
    <row r="16">
      <c r="A16" s="335">
        <v>13.0</v>
      </c>
      <c r="B16" s="335"/>
      <c r="C16" s="338"/>
      <c r="D16" s="335"/>
      <c r="E16" s="335"/>
      <c r="F16" s="337"/>
      <c r="G16" s="337"/>
      <c r="H16" s="335"/>
      <c r="I16" s="335"/>
      <c r="J16" s="335"/>
      <c r="K16" s="335"/>
      <c r="L16" s="337"/>
      <c r="M16" s="328"/>
      <c r="N16" s="328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8"/>
    </row>
    <row r="17">
      <c r="A17" s="335">
        <v>14.0</v>
      </c>
      <c r="B17" s="335"/>
      <c r="C17" s="338"/>
      <c r="D17" s="335"/>
      <c r="E17" s="335"/>
      <c r="F17" s="337"/>
      <c r="G17" s="337"/>
      <c r="H17" s="335"/>
      <c r="I17" s="335"/>
      <c r="J17" s="335"/>
      <c r="K17" s="335"/>
      <c r="L17" s="337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</row>
    <row r="18">
      <c r="A18" s="335">
        <v>15.0</v>
      </c>
      <c r="B18" s="335"/>
      <c r="C18" s="338"/>
      <c r="D18" s="335"/>
      <c r="E18" s="335"/>
      <c r="F18" s="337"/>
      <c r="G18" s="337"/>
      <c r="H18" s="335"/>
      <c r="I18" s="335"/>
      <c r="J18" s="335"/>
      <c r="K18" s="335"/>
      <c r="L18" s="337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</row>
    <row r="19">
      <c r="A19" s="335">
        <v>16.0</v>
      </c>
      <c r="B19" s="335"/>
      <c r="C19" s="338"/>
      <c r="D19" s="335"/>
      <c r="E19" s="335"/>
      <c r="F19" s="337"/>
      <c r="G19" s="337"/>
      <c r="H19" s="335"/>
      <c r="I19" s="335"/>
      <c r="J19" s="335"/>
      <c r="K19" s="335"/>
      <c r="L19" s="337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</row>
    <row r="20">
      <c r="A20" s="335">
        <v>17.0</v>
      </c>
      <c r="B20" s="335"/>
      <c r="C20" s="338"/>
      <c r="D20" s="335"/>
      <c r="E20" s="335"/>
      <c r="F20" s="337"/>
      <c r="G20" s="337"/>
      <c r="H20" s="335"/>
      <c r="I20" s="335"/>
      <c r="J20" s="335"/>
      <c r="K20" s="335"/>
      <c r="L20" s="337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</row>
    <row r="21" ht="15.75" customHeight="1">
      <c r="A21" s="335">
        <v>18.0</v>
      </c>
      <c r="B21" s="335"/>
      <c r="C21" s="338"/>
      <c r="D21" s="335"/>
      <c r="E21" s="335"/>
      <c r="F21" s="337"/>
      <c r="G21" s="337"/>
      <c r="H21" s="335"/>
      <c r="I21" s="335"/>
      <c r="J21" s="335"/>
      <c r="K21" s="335"/>
      <c r="L21" s="337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  <c r="Y21" s="328"/>
      <c r="Z21" s="328"/>
    </row>
    <row r="22" ht="15.75" customHeight="1">
      <c r="A22" s="335">
        <v>19.0</v>
      </c>
      <c r="B22" s="335"/>
      <c r="C22" s="338"/>
      <c r="D22" s="335"/>
      <c r="E22" s="335"/>
      <c r="F22" s="337"/>
      <c r="G22" s="337"/>
      <c r="H22" s="335"/>
      <c r="I22" s="335"/>
      <c r="J22" s="335"/>
      <c r="K22" s="335"/>
      <c r="L22" s="337"/>
      <c r="M22" s="328"/>
      <c r="N22" s="328"/>
      <c r="O22" s="328"/>
      <c r="P22" s="328"/>
      <c r="Q22" s="328"/>
      <c r="R22" s="328"/>
      <c r="S22" s="328"/>
      <c r="T22" s="328"/>
      <c r="U22" s="328"/>
      <c r="V22" s="328"/>
      <c r="W22" s="328"/>
      <c r="X22" s="328"/>
      <c r="Y22" s="328"/>
      <c r="Z22" s="328"/>
    </row>
    <row r="23" ht="15.75" customHeight="1">
      <c r="A23" s="335">
        <v>20.0</v>
      </c>
      <c r="B23" s="335"/>
      <c r="C23" s="338"/>
      <c r="D23" s="335"/>
      <c r="E23" s="335"/>
      <c r="F23" s="337"/>
      <c r="G23" s="337"/>
      <c r="H23" s="335"/>
      <c r="I23" s="335"/>
      <c r="J23" s="335"/>
      <c r="K23" s="335"/>
      <c r="L23" s="337"/>
      <c r="M23" s="328"/>
      <c r="N23" s="328"/>
      <c r="O23" s="328"/>
      <c r="P23" s="328"/>
      <c r="Q23" s="328"/>
      <c r="R23" s="328"/>
      <c r="S23" s="328"/>
      <c r="T23" s="328"/>
      <c r="U23" s="328"/>
      <c r="V23" s="328"/>
      <c r="W23" s="328"/>
      <c r="X23" s="328"/>
      <c r="Y23" s="328"/>
      <c r="Z23" s="328"/>
    </row>
    <row r="24" ht="15.75" customHeight="1">
      <c r="A24" s="335">
        <v>21.0</v>
      </c>
      <c r="B24" s="335"/>
      <c r="C24" s="338"/>
      <c r="D24" s="335"/>
      <c r="E24" s="335"/>
      <c r="F24" s="337"/>
      <c r="G24" s="337"/>
      <c r="H24" s="335"/>
      <c r="I24" s="335"/>
      <c r="J24" s="335"/>
      <c r="K24" s="335"/>
      <c r="L24" s="337"/>
      <c r="M24" s="328"/>
      <c r="N24" s="328"/>
      <c r="O24" s="328"/>
      <c r="P24" s="328"/>
      <c r="Q24" s="328"/>
      <c r="R24" s="328"/>
      <c r="S24" s="328"/>
      <c r="T24" s="328"/>
      <c r="U24" s="328"/>
      <c r="V24" s="328"/>
      <c r="W24" s="328"/>
      <c r="X24" s="328"/>
      <c r="Y24" s="328"/>
      <c r="Z24" s="328"/>
    </row>
    <row r="25" ht="15.75" customHeight="1">
      <c r="A25" s="335">
        <v>22.0</v>
      </c>
      <c r="B25" s="335"/>
      <c r="C25" s="338"/>
      <c r="D25" s="335"/>
      <c r="E25" s="335"/>
      <c r="F25" s="337"/>
      <c r="G25" s="337"/>
      <c r="H25" s="335"/>
      <c r="I25" s="335"/>
      <c r="J25" s="335"/>
      <c r="K25" s="335"/>
      <c r="L25" s="337"/>
      <c r="M25" s="328"/>
      <c r="N25" s="328"/>
      <c r="O25" s="328"/>
      <c r="P25" s="328"/>
      <c r="Q25" s="328"/>
      <c r="R25" s="328"/>
      <c r="S25" s="328"/>
      <c r="T25" s="328"/>
      <c r="U25" s="328"/>
      <c r="V25" s="328"/>
      <c r="W25" s="328"/>
      <c r="X25" s="328"/>
      <c r="Y25" s="328"/>
      <c r="Z25" s="328"/>
    </row>
    <row r="26" ht="15.75" customHeight="1">
      <c r="A26" s="335">
        <v>23.0</v>
      </c>
      <c r="B26" s="335"/>
      <c r="C26" s="338"/>
      <c r="D26" s="335"/>
      <c r="E26" s="335"/>
      <c r="F26" s="337"/>
      <c r="G26" s="337"/>
      <c r="H26" s="335"/>
      <c r="I26" s="335"/>
      <c r="J26" s="335"/>
      <c r="K26" s="335"/>
      <c r="L26" s="337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</row>
    <row r="27" ht="15.75" customHeight="1">
      <c r="A27" s="335">
        <v>24.0</v>
      </c>
      <c r="B27" s="335"/>
      <c r="C27" s="338"/>
      <c r="D27" s="335"/>
      <c r="E27" s="335"/>
      <c r="F27" s="337"/>
      <c r="G27" s="337"/>
      <c r="H27" s="335"/>
      <c r="I27" s="335"/>
      <c r="J27" s="335"/>
      <c r="K27" s="335"/>
      <c r="L27" s="337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</row>
    <row r="28" ht="15.75" customHeight="1">
      <c r="A28" s="335">
        <v>25.0</v>
      </c>
      <c r="B28" s="335"/>
      <c r="C28" s="338"/>
      <c r="D28" s="335"/>
      <c r="E28" s="335"/>
      <c r="F28" s="337"/>
      <c r="G28" s="337"/>
      <c r="H28" s="335"/>
      <c r="I28" s="335"/>
      <c r="J28" s="335"/>
      <c r="K28" s="335"/>
      <c r="L28" s="337"/>
      <c r="M28" s="328"/>
      <c r="N28" s="328"/>
      <c r="O28" s="328"/>
      <c r="P28" s="328"/>
      <c r="Q28" s="328"/>
      <c r="R28" s="328"/>
      <c r="S28" s="328"/>
      <c r="T28" s="328"/>
      <c r="U28" s="328"/>
      <c r="V28" s="328"/>
      <c r="W28" s="328"/>
      <c r="X28" s="328"/>
      <c r="Y28" s="328"/>
      <c r="Z28" s="328"/>
    </row>
    <row r="29" ht="15.75" customHeight="1">
      <c r="A29" s="335">
        <v>26.0</v>
      </c>
      <c r="B29" s="335"/>
      <c r="C29" s="338"/>
      <c r="D29" s="335"/>
      <c r="E29" s="335"/>
      <c r="F29" s="337"/>
      <c r="G29" s="337"/>
      <c r="H29" s="335"/>
      <c r="I29" s="335"/>
      <c r="J29" s="335"/>
      <c r="K29" s="335"/>
      <c r="L29" s="337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328"/>
      <c r="Y29" s="328"/>
      <c r="Z29" s="328"/>
    </row>
    <row r="30" ht="15.75" customHeight="1">
      <c r="A30" s="335">
        <v>27.0</v>
      </c>
      <c r="B30" s="335"/>
      <c r="C30" s="338"/>
      <c r="D30" s="335"/>
      <c r="E30" s="335"/>
      <c r="F30" s="337"/>
      <c r="G30" s="337"/>
      <c r="H30" s="335"/>
      <c r="I30" s="335"/>
      <c r="J30" s="335"/>
      <c r="K30" s="335"/>
      <c r="L30" s="337"/>
      <c r="M30" s="328"/>
      <c r="N30" s="328"/>
      <c r="O30" s="328"/>
      <c r="P30" s="328"/>
      <c r="Q30" s="328"/>
      <c r="R30" s="328"/>
      <c r="S30" s="328"/>
      <c r="T30" s="328"/>
      <c r="U30" s="328"/>
      <c r="V30" s="328"/>
      <c r="W30" s="328"/>
      <c r="X30" s="328"/>
      <c r="Y30" s="328"/>
      <c r="Z30" s="328"/>
    </row>
    <row r="31" ht="15.75" customHeight="1">
      <c r="A31" s="335">
        <v>28.0</v>
      </c>
      <c r="B31" s="335"/>
      <c r="C31" s="338"/>
      <c r="D31" s="335"/>
      <c r="E31" s="335"/>
      <c r="F31" s="337"/>
      <c r="G31" s="337"/>
      <c r="H31" s="335"/>
      <c r="I31" s="335"/>
      <c r="J31" s="335"/>
      <c r="K31" s="335"/>
      <c r="L31" s="337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  <c r="X31" s="328"/>
      <c r="Y31" s="328"/>
      <c r="Z31" s="328"/>
    </row>
    <row r="32" ht="15.75" customHeight="1">
      <c r="A32" s="335">
        <v>29.0</v>
      </c>
      <c r="B32" s="335"/>
      <c r="C32" s="338"/>
      <c r="D32" s="335"/>
      <c r="E32" s="335"/>
      <c r="F32" s="337"/>
      <c r="G32" s="337"/>
      <c r="H32" s="335"/>
      <c r="I32" s="335"/>
      <c r="J32" s="335"/>
      <c r="K32" s="335"/>
      <c r="L32" s="337"/>
      <c r="M32" s="328"/>
      <c r="N32" s="328"/>
      <c r="O32" s="328"/>
      <c r="P32" s="328"/>
      <c r="Q32" s="328"/>
      <c r="R32" s="328"/>
      <c r="S32" s="328"/>
      <c r="T32" s="328"/>
      <c r="U32" s="328"/>
      <c r="V32" s="328"/>
      <c r="W32" s="328"/>
      <c r="X32" s="328"/>
      <c r="Y32" s="328"/>
      <c r="Z32" s="328"/>
    </row>
    <row r="33" ht="15.75" customHeight="1">
      <c r="A33" s="335">
        <v>30.0</v>
      </c>
      <c r="B33" s="335"/>
      <c r="C33" s="338"/>
      <c r="D33" s="335"/>
      <c r="E33" s="335"/>
      <c r="F33" s="337"/>
      <c r="G33" s="337"/>
      <c r="H33" s="335"/>
      <c r="I33" s="335"/>
      <c r="J33" s="335"/>
      <c r="K33" s="335"/>
      <c r="L33" s="337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  <c r="X33" s="328"/>
      <c r="Y33" s="328"/>
      <c r="Z33" s="328"/>
    </row>
    <row r="34" ht="15.75" customHeight="1">
      <c r="A34" s="335">
        <v>31.0</v>
      </c>
      <c r="B34" s="335"/>
      <c r="C34" s="338"/>
      <c r="D34" s="335"/>
      <c r="E34" s="335"/>
      <c r="F34" s="337"/>
      <c r="G34" s="337"/>
      <c r="H34" s="335"/>
      <c r="I34" s="335"/>
      <c r="J34" s="335"/>
      <c r="K34" s="335"/>
      <c r="L34" s="337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Y34" s="328"/>
      <c r="Z34" s="328"/>
    </row>
    <row r="35" ht="15.75" customHeight="1">
      <c r="A35" s="335">
        <v>32.0</v>
      </c>
      <c r="B35" s="335"/>
      <c r="C35" s="338"/>
      <c r="D35" s="335"/>
      <c r="E35" s="335"/>
      <c r="F35" s="337"/>
      <c r="G35" s="337"/>
      <c r="H35" s="335"/>
      <c r="I35" s="335"/>
      <c r="J35" s="335"/>
      <c r="K35" s="335"/>
      <c r="L35" s="337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Y35" s="328"/>
      <c r="Z35" s="328"/>
    </row>
    <row r="36" ht="15.75" customHeight="1">
      <c r="A36" s="335">
        <v>33.0</v>
      </c>
      <c r="B36" s="335"/>
      <c r="C36" s="338"/>
      <c r="D36" s="335"/>
      <c r="E36" s="335"/>
      <c r="F36" s="337"/>
      <c r="G36" s="337"/>
      <c r="H36" s="335"/>
      <c r="I36" s="335"/>
      <c r="J36" s="335"/>
      <c r="K36" s="335"/>
      <c r="L36" s="337"/>
      <c r="M36" s="328"/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Y36" s="328"/>
      <c r="Z36" s="328"/>
    </row>
    <row r="37" ht="15.75" customHeight="1">
      <c r="A37" s="335">
        <v>34.0</v>
      </c>
      <c r="B37" s="335"/>
      <c r="C37" s="338"/>
      <c r="D37" s="335"/>
      <c r="E37" s="335"/>
      <c r="F37" s="337"/>
      <c r="G37" s="337"/>
      <c r="H37" s="335"/>
      <c r="I37" s="335"/>
      <c r="J37" s="335"/>
      <c r="K37" s="335"/>
      <c r="L37" s="337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Y37" s="328"/>
      <c r="Z37" s="328"/>
    </row>
    <row r="38" ht="15.75" customHeight="1">
      <c r="A38" s="335">
        <v>35.0</v>
      </c>
      <c r="B38" s="335"/>
      <c r="C38" s="338"/>
      <c r="D38" s="335"/>
      <c r="E38" s="335"/>
      <c r="F38" s="337"/>
      <c r="G38" s="337"/>
      <c r="H38" s="335"/>
      <c r="I38" s="335"/>
      <c r="J38" s="335"/>
      <c r="K38" s="335"/>
      <c r="L38" s="337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328"/>
      <c r="Z38" s="328"/>
    </row>
    <row r="39" ht="15.75" customHeight="1">
      <c r="A39" s="335">
        <v>36.0</v>
      </c>
      <c r="B39" s="335"/>
      <c r="C39" s="338"/>
      <c r="D39" s="335"/>
      <c r="E39" s="335"/>
      <c r="F39" s="337"/>
      <c r="G39" s="337"/>
      <c r="H39" s="335"/>
      <c r="I39" s="335"/>
      <c r="J39" s="335"/>
      <c r="K39" s="335"/>
      <c r="L39" s="337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8"/>
      <c r="Z39" s="328"/>
    </row>
    <row r="40" ht="15.75" customHeight="1">
      <c r="A40" s="335">
        <v>37.0</v>
      </c>
      <c r="B40" s="335"/>
      <c r="C40" s="338"/>
      <c r="D40" s="335"/>
      <c r="E40" s="335"/>
      <c r="F40" s="337"/>
      <c r="G40" s="337"/>
      <c r="H40" s="335"/>
      <c r="I40" s="335"/>
      <c r="J40" s="335"/>
      <c r="K40" s="335"/>
      <c r="L40" s="337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Y40" s="328"/>
      <c r="Z40" s="328"/>
    </row>
    <row r="41" ht="15.75" customHeight="1">
      <c r="A41" s="335">
        <v>38.0</v>
      </c>
      <c r="B41" s="335"/>
      <c r="C41" s="338"/>
      <c r="D41" s="335"/>
      <c r="E41" s="335"/>
      <c r="F41" s="337"/>
      <c r="G41" s="337"/>
      <c r="H41" s="335"/>
      <c r="I41" s="335"/>
      <c r="J41" s="335"/>
      <c r="K41" s="335"/>
      <c r="L41" s="337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Y41" s="328"/>
      <c r="Z41" s="328"/>
    </row>
    <row r="42" ht="15.75" customHeight="1">
      <c r="A42" s="335">
        <v>39.0</v>
      </c>
      <c r="B42" s="335"/>
      <c r="C42" s="338"/>
      <c r="D42" s="335"/>
      <c r="E42" s="335"/>
      <c r="F42" s="337"/>
      <c r="G42" s="337"/>
      <c r="H42" s="335"/>
      <c r="I42" s="335"/>
      <c r="J42" s="335"/>
      <c r="K42" s="335"/>
      <c r="L42" s="337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Y42" s="328"/>
      <c r="Z42" s="328"/>
    </row>
    <row r="43" ht="15.75" customHeight="1">
      <c r="A43" s="335">
        <v>40.0</v>
      </c>
      <c r="B43" s="335"/>
      <c r="C43" s="338"/>
      <c r="D43" s="335"/>
      <c r="E43" s="335"/>
      <c r="F43" s="337"/>
      <c r="G43" s="337"/>
      <c r="H43" s="335"/>
      <c r="I43" s="335"/>
      <c r="J43" s="335"/>
      <c r="K43" s="335"/>
      <c r="L43" s="337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Y43" s="328"/>
      <c r="Z43" s="328"/>
    </row>
    <row r="44" ht="15.75" customHeight="1">
      <c r="A44" s="328"/>
      <c r="B44" s="339"/>
      <c r="C44" s="328"/>
      <c r="D44" s="339"/>
      <c r="E44" s="339"/>
      <c r="F44" s="340"/>
      <c r="G44" s="340"/>
      <c r="H44" s="328"/>
      <c r="I44" s="328"/>
      <c r="J44" s="328"/>
      <c r="K44" s="328"/>
      <c r="L44" s="340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Y44" s="328"/>
      <c r="Z44" s="328"/>
    </row>
    <row r="45" ht="15.75" customHeight="1">
      <c r="A45" s="328"/>
      <c r="B45" s="339"/>
      <c r="C45" s="328"/>
      <c r="D45" s="339"/>
      <c r="E45" s="339"/>
      <c r="F45" s="340"/>
      <c r="G45" s="340"/>
      <c r="H45" s="328"/>
      <c r="I45" s="328"/>
      <c r="J45" s="328"/>
      <c r="K45" s="328"/>
      <c r="L45" s="340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Y45" s="328"/>
      <c r="Z45" s="328"/>
    </row>
    <row r="46" ht="15.75" customHeight="1">
      <c r="A46" s="328"/>
      <c r="B46" s="339"/>
      <c r="C46" s="328"/>
      <c r="D46" s="339"/>
      <c r="E46" s="339"/>
      <c r="F46" s="340"/>
      <c r="G46" s="340"/>
      <c r="H46" s="328"/>
      <c r="I46" s="328"/>
      <c r="J46" s="328"/>
      <c r="K46" s="328"/>
      <c r="L46" s="340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Y46" s="328"/>
      <c r="Z46" s="328"/>
    </row>
    <row r="47" ht="15.75" customHeight="1">
      <c r="A47" s="328"/>
      <c r="B47" s="339"/>
      <c r="C47" s="328"/>
      <c r="D47" s="339"/>
      <c r="E47" s="339"/>
      <c r="F47" s="340"/>
      <c r="G47" s="340"/>
      <c r="H47" s="328"/>
      <c r="I47" s="328"/>
      <c r="J47" s="328"/>
      <c r="K47" s="328"/>
      <c r="L47" s="340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Y47" s="328"/>
      <c r="Z47" s="328"/>
    </row>
    <row r="48" ht="15.75" customHeight="1">
      <c r="A48" s="328"/>
      <c r="B48" s="339"/>
      <c r="C48" s="328"/>
      <c r="D48" s="339"/>
      <c r="E48" s="339"/>
      <c r="F48" s="340"/>
      <c r="G48" s="340"/>
      <c r="H48" s="328"/>
      <c r="I48" s="328"/>
      <c r="J48" s="328"/>
      <c r="K48" s="328"/>
      <c r="L48" s="340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Y48" s="328"/>
      <c r="Z48" s="328"/>
    </row>
    <row r="49" ht="15.75" customHeight="1">
      <c r="A49" s="328"/>
      <c r="B49" s="339"/>
      <c r="C49" s="328"/>
      <c r="D49" s="339"/>
      <c r="E49" s="339"/>
      <c r="F49" s="340"/>
      <c r="G49" s="340"/>
      <c r="H49" s="328"/>
      <c r="I49" s="328"/>
      <c r="J49" s="328"/>
      <c r="K49" s="328"/>
      <c r="L49" s="340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Y49" s="328"/>
      <c r="Z49" s="328"/>
    </row>
    <row r="50" ht="15.75" customHeight="1">
      <c r="A50" s="328"/>
      <c r="B50" s="339"/>
      <c r="C50" s="328"/>
      <c r="D50" s="339"/>
      <c r="E50" s="339"/>
      <c r="F50" s="340"/>
      <c r="G50" s="340"/>
      <c r="H50" s="328"/>
      <c r="I50" s="328"/>
      <c r="J50" s="328"/>
      <c r="K50" s="328"/>
      <c r="L50" s="340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Y50" s="328"/>
      <c r="Z50" s="328"/>
    </row>
    <row r="51" ht="15.75" customHeight="1">
      <c r="A51" s="328"/>
      <c r="B51" s="339"/>
      <c r="C51" s="328"/>
      <c r="D51" s="339"/>
      <c r="E51" s="339"/>
      <c r="F51" s="340"/>
      <c r="G51" s="340"/>
      <c r="H51" s="328"/>
      <c r="I51" s="328"/>
      <c r="J51" s="328"/>
      <c r="K51" s="328"/>
      <c r="L51" s="340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Y51" s="328"/>
      <c r="Z51" s="328"/>
    </row>
    <row r="52" ht="15.75" customHeight="1">
      <c r="A52" s="328"/>
      <c r="B52" s="339"/>
      <c r="C52" s="328"/>
      <c r="D52" s="339"/>
      <c r="E52" s="339"/>
      <c r="F52" s="340"/>
      <c r="G52" s="340"/>
      <c r="H52" s="328"/>
      <c r="I52" s="328"/>
      <c r="J52" s="328"/>
      <c r="K52" s="328"/>
      <c r="L52" s="340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Y52" s="328"/>
      <c r="Z52" s="328"/>
    </row>
    <row r="53" ht="15.75" customHeight="1">
      <c r="A53" s="328"/>
      <c r="B53" s="339"/>
      <c r="C53" s="328"/>
      <c r="D53" s="339"/>
      <c r="E53" s="339"/>
      <c r="F53" s="340"/>
      <c r="G53" s="340"/>
      <c r="H53" s="328"/>
      <c r="I53" s="328"/>
      <c r="J53" s="328"/>
      <c r="K53" s="328"/>
      <c r="L53" s="340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Y53" s="328"/>
      <c r="Z53" s="328"/>
    </row>
    <row r="54" ht="15.75" customHeight="1">
      <c r="A54" s="328"/>
      <c r="B54" s="339"/>
      <c r="C54" s="328"/>
      <c r="D54" s="339"/>
      <c r="E54" s="339"/>
      <c r="F54" s="340"/>
      <c r="G54" s="340"/>
      <c r="H54" s="328"/>
      <c r="I54" s="328"/>
      <c r="J54" s="328"/>
      <c r="K54" s="328"/>
      <c r="L54" s="340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Y54" s="328"/>
      <c r="Z54" s="328"/>
    </row>
    <row r="55" ht="15.75" customHeight="1">
      <c r="A55" s="328"/>
      <c r="B55" s="339"/>
      <c r="C55" s="328"/>
      <c r="D55" s="339"/>
      <c r="E55" s="339"/>
      <c r="F55" s="340"/>
      <c r="G55" s="340"/>
      <c r="H55" s="328"/>
      <c r="I55" s="328"/>
      <c r="J55" s="328"/>
      <c r="K55" s="328"/>
      <c r="L55" s="340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</row>
    <row r="56" ht="15.75" customHeight="1">
      <c r="A56" s="328"/>
      <c r="B56" s="339"/>
      <c r="C56" s="328"/>
      <c r="D56" s="339"/>
      <c r="E56" s="339"/>
      <c r="F56" s="340"/>
      <c r="G56" s="340"/>
      <c r="H56" s="328"/>
      <c r="I56" s="328"/>
      <c r="J56" s="328"/>
      <c r="K56" s="328"/>
      <c r="L56" s="340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</row>
    <row r="57" ht="15.75" customHeight="1">
      <c r="A57" s="328"/>
      <c r="B57" s="339"/>
      <c r="C57" s="328"/>
      <c r="D57" s="339"/>
      <c r="E57" s="339"/>
      <c r="F57" s="340"/>
      <c r="G57" s="340"/>
      <c r="H57" s="328"/>
      <c r="I57" s="328"/>
      <c r="J57" s="328"/>
      <c r="K57" s="328"/>
      <c r="L57" s="340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Y57" s="328"/>
      <c r="Z57" s="328"/>
    </row>
    <row r="58" ht="15.75" customHeight="1">
      <c r="A58" s="328"/>
      <c r="B58" s="339"/>
      <c r="C58" s="328"/>
      <c r="D58" s="339"/>
      <c r="E58" s="339"/>
      <c r="F58" s="340"/>
      <c r="G58" s="340"/>
      <c r="H58" s="328"/>
      <c r="I58" s="328"/>
      <c r="J58" s="328"/>
      <c r="K58" s="328"/>
      <c r="L58" s="340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Y58" s="328"/>
      <c r="Z58" s="328"/>
    </row>
    <row r="59" ht="15.75" customHeight="1">
      <c r="A59" s="328"/>
      <c r="B59" s="339"/>
      <c r="C59" s="328"/>
      <c r="D59" s="339"/>
      <c r="E59" s="339"/>
      <c r="F59" s="340"/>
      <c r="G59" s="340"/>
      <c r="H59" s="328"/>
      <c r="I59" s="328"/>
      <c r="J59" s="328"/>
      <c r="K59" s="328"/>
      <c r="L59" s="340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28"/>
      <c r="Z59" s="328"/>
    </row>
    <row r="60" ht="15.75" customHeight="1">
      <c r="A60" s="328"/>
      <c r="B60" s="339"/>
      <c r="C60" s="328"/>
      <c r="D60" s="339"/>
      <c r="E60" s="339"/>
      <c r="F60" s="340"/>
      <c r="G60" s="340"/>
      <c r="H60" s="328"/>
      <c r="I60" s="328"/>
      <c r="J60" s="328"/>
      <c r="K60" s="328"/>
      <c r="L60" s="340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Y60" s="328"/>
      <c r="Z60" s="328"/>
    </row>
    <row r="61" ht="15.75" customHeight="1">
      <c r="A61" s="328"/>
      <c r="B61" s="339"/>
      <c r="C61" s="328"/>
      <c r="D61" s="339"/>
      <c r="E61" s="339"/>
      <c r="F61" s="340"/>
      <c r="G61" s="340"/>
      <c r="H61" s="328"/>
      <c r="I61" s="328"/>
      <c r="J61" s="328"/>
      <c r="K61" s="328"/>
      <c r="L61" s="340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  <c r="Z61" s="328"/>
    </row>
    <row r="62" ht="15.75" customHeight="1">
      <c r="A62" s="328"/>
      <c r="B62" s="339"/>
      <c r="C62" s="328"/>
      <c r="D62" s="339"/>
      <c r="E62" s="339"/>
      <c r="F62" s="340"/>
      <c r="G62" s="340"/>
      <c r="H62" s="328"/>
      <c r="I62" s="328"/>
      <c r="J62" s="328"/>
      <c r="K62" s="328"/>
      <c r="L62" s="340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  <c r="Z62" s="328"/>
    </row>
    <row r="63" ht="15.75" customHeight="1">
      <c r="A63" s="328"/>
      <c r="B63" s="339"/>
      <c r="C63" s="328"/>
      <c r="D63" s="339"/>
      <c r="E63" s="339"/>
      <c r="F63" s="340"/>
      <c r="G63" s="340"/>
      <c r="H63" s="328"/>
      <c r="I63" s="328"/>
      <c r="J63" s="328"/>
      <c r="K63" s="328"/>
      <c r="L63" s="340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Y63" s="328"/>
      <c r="Z63" s="328"/>
    </row>
    <row r="64" ht="15.75" customHeight="1">
      <c r="A64" s="328"/>
      <c r="B64" s="339"/>
      <c r="C64" s="328"/>
      <c r="D64" s="339"/>
      <c r="E64" s="339"/>
      <c r="F64" s="340"/>
      <c r="G64" s="340"/>
      <c r="H64" s="328"/>
      <c r="I64" s="328"/>
      <c r="J64" s="328"/>
      <c r="K64" s="328"/>
      <c r="L64" s="340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Y64" s="328"/>
      <c r="Z64" s="328"/>
    </row>
    <row r="65" ht="15.75" customHeight="1">
      <c r="A65" s="328"/>
      <c r="B65" s="339"/>
      <c r="C65" s="328"/>
      <c r="D65" s="339"/>
      <c r="E65" s="339"/>
      <c r="F65" s="340"/>
      <c r="G65" s="340"/>
      <c r="H65" s="328"/>
      <c r="I65" s="328"/>
      <c r="J65" s="328"/>
      <c r="K65" s="328"/>
      <c r="L65" s="340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  <c r="Y65" s="328"/>
      <c r="Z65" s="328"/>
    </row>
    <row r="66" ht="15.75" customHeight="1">
      <c r="A66" s="328"/>
      <c r="B66" s="339"/>
      <c r="C66" s="328"/>
      <c r="D66" s="339"/>
      <c r="E66" s="339"/>
      <c r="F66" s="340"/>
      <c r="G66" s="340"/>
      <c r="H66" s="328"/>
      <c r="I66" s="328"/>
      <c r="J66" s="328"/>
      <c r="K66" s="328"/>
      <c r="L66" s="340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  <c r="X66" s="328"/>
      <c r="Y66" s="328"/>
      <c r="Z66" s="328"/>
    </row>
    <row r="67" ht="15.75" customHeight="1">
      <c r="A67" s="328"/>
      <c r="B67" s="339"/>
      <c r="C67" s="328"/>
      <c r="D67" s="339"/>
      <c r="E67" s="339"/>
      <c r="F67" s="340"/>
      <c r="G67" s="340"/>
      <c r="H67" s="328"/>
      <c r="I67" s="328"/>
      <c r="J67" s="328"/>
      <c r="K67" s="328"/>
      <c r="L67" s="340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</row>
    <row r="68" ht="15.75" customHeight="1">
      <c r="A68" s="328"/>
      <c r="B68" s="339"/>
      <c r="C68" s="328"/>
      <c r="D68" s="339"/>
      <c r="E68" s="339"/>
      <c r="F68" s="340"/>
      <c r="G68" s="340"/>
      <c r="H68" s="328"/>
      <c r="I68" s="328"/>
      <c r="J68" s="328"/>
      <c r="K68" s="328"/>
      <c r="L68" s="340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8"/>
      <c r="Z68" s="328"/>
    </row>
    <row r="69" ht="15.75" customHeight="1">
      <c r="A69" s="328"/>
      <c r="B69" s="339"/>
      <c r="C69" s="328"/>
      <c r="D69" s="339"/>
      <c r="E69" s="339"/>
      <c r="F69" s="340"/>
      <c r="G69" s="340"/>
      <c r="H69" s="328"/>
      <c r="I69" s="328"/>
      <c r="J69" s="328"/>
      <c r="K69" s="328"/>
      <c r="L69" s="340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  <c r="Y69" s="328"/>
      <c r="Z69" s="328"/>
    </row>
    <row r="70" ht="15.75" customHeight="1">
      <c r="A70" s="328"/>
      <c r="B70" s="339"/>
      <c r="C70" s="328"/>
      <c r="D70" s="339"/>
      <c r="E70" s="339"/>
      <c r="F70" s="340"/>
      <c r="G70" s="340"/>
      <c r="H70" s="328"/>
      <c r="I70" s="328"/>
      <c r="J70" s="328"/>
      <c r="K70" s="328"/>
      <c r="L70" s="340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328"/>
      <c r="Z70" s="328"/>
    </row>
    <row r="71" ht="15.75" customHeight="1">
      <c r="A71" s="328"/>
      <c r="B71" s="339"/>
      <c r="C71" s="328"/>
      <c r="D71" s="339"/>
      <c r="E71" s="339"/>
      <c r="F71" s="340"/>
      <c r="G71" s="340"/>
      <c r="H71" s="328"/>
      <c r="I71" s="328"/>
      <c r="J71" s="328"/>
      <c r="K71" s="328"/>
      <c r="L71" s="340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328"/>
      <c r="Z71" s="328"/>
    </row>
    <row r="72" ht="15.75" customHeight="1">
      <c r="A72" s="328"/>
      <c r="B72" s="339"/>
      <c r="C72" s="328"/>
      <c r="D72" s="339"/>
      <c r="E72" s="339"/>
      <c r="F72" s="340"/>
      <c r="G72" s="340"/>
      <c r="H72" s="328"/>
      <c r="I72" s="328"/>
      <c r="J72" s="328"/>
      <c r="K72" s="328"/>
      <c r="L72" s="340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328"/>
      <c r="Z72" s="328"/>
    </row>
    <row r="73" ht="15.75" customHeight="1">
      <c r="A73" s="328"/>
      <c r="B73" s="339"/>
      <c r="C73" s="328"/>
      <c r="D73" s="339"/>
      <c r="E73" s="339"/>
      <c r="F73" s="340"/>
      <c r="G73" s="340"/>
      <c r="H73" s="328"/>
      <c r="I73" s="328"/>
      <c r="J73" s="328"/>
      <c r="K73" s="328"/>
      <c r="L73" s="340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</row>
    <row r="74" ht="15.75" customHeight="1">
      <c r="A74" s="328"/>
      <c r="B74" s="339"/>
      <c r="C74" s="328"/>
      <c r="D74" s="339"/>
      <c r="E74" s="339"/>
      <c r="F74" s="340"/>
      <c r="G74" s="340"/>
      <c r="H74" s="328"/>
      <c r="I74" s="328"/>
      <c r="J74" s="328"/>
      <c r="K74" s="328"/>
      <c r="L74" s="340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  <c r="X74" s="328"/>
      <c r="Y74" s="328"/>
      <c r="Z74" s="328"/>
    </row>
    <row r="75" ht="15.75" customHeight="1">
      <c r="A75" s="328"/>
      <c r="B75" s="339"/>
      <c r="C75" s="328"/>
      <c r="D75" s="339"/>
      <c r="E75" s="339"/>
      <c r="F75" s="340"/>
      <c r="G75" s="340"/>
      <c r="H75" s="328"/>
      <c r="I75" s="328"/>
      <c r="J75" s="328"/>
      <c r="K75" s="328"/>
      <c r="L75" s="340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328"/>
      <c r="Y75" s="328"/>
      <c r="Z75" s="328"/>
    </row>
    <row r="76" ht="15.75" customHeight="1">
      <c r="A76" s="328"/>
      <c r="B76" s="339"/>
      <c r="C76" s="328"/>
      <c r="D76" s="339"/>
      <c r="E76" s="339"/>
      <c r="F76" s="340"/>
      <c r="G76" s="340"/>
      <c r="H76" s="328"/>
      <c r="I76" s="328"/>
      <c r="J76" s="328"/>
      <c r="K76" s="328"/>
      <c r="L76" s="340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  <c r="X76" s="328"/>
      <c r="Y76" s="328"/>
      <c r="Z76" s="328"/>
    </row>
    <row r="77" ht="15.75" customHeight="1">
      <c r="A77" s="328"/>
      <c r="B77" s="339"/>
      <c r="C77" s="328"/>
      <c r="D77" s="339"/>
      <c r="E77" s="339"/>
      <c r="F77" s="340"/>
      <c r="G77" s="340"/>
      <c r="H77" s="328"/>
      <c r="I77" s="328"/>
      <c r="J77" s="328"/>
      <c r="K77" s="328"/>
      <c r="L77" s="340"/>
      <c r="M77" s="328"/>
      <c r="N77" s="328"/>
      <c r="O77" s="328"/>
      <c r="P77" s="328"/>
      <c r="Q77" s="328"/>
      <c r="R77" s="328"/>
      <c r="S77" s="328"/>
      <c r="T77" s="328"/>
      <c r="U77" s="328"/>
      <c r="V77" s="328"/>
      <c r="W77" s="328"/>
      <c r="X77" s="328"/>
      <c r="Y77" s="328"/>
      <c r="Z77" s="328"/>
    </row>
    <row r="78" ht="15.75" customHeight="1">
      <c r="A78" s="328"/>
      <c r="B78" s="339"/>
      <c r="C78" s="328"/>
      <c r="D78" s="339"/>
      <c r="E78" s="339"/>
      <c r="F78" s="340"/>
      <c r="G78" s="340"/>
      <c r="H78" s="328"/>
      <c r="I78" s="328"/>
      <c r="J78" s="328"/>
      <c r="K78" s="328"/>
      <c r="L78" s="340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  <c r="X78" s="328"/>
      <c r="Y78" s="328"/>
      <c r="Z78" s="328"/>
    </row>
    <row r="79" ht="15.75" customHeight="1">
      <c r="A79" s="328"/>
      <c r="B79" s="339"/>
      <c r="C79" s="328"/>
      <c r="D79" s="339"/>
      <c r="E79" s="339"/>
      <c r="F79" s="340"/>
      <c r="G79" s="340"/>
      <c r="H79" s="328"/>
      <c r="I79" s="328"/>
      <c r="J79" s="328"/>
      <c r="K79" s="328"/>
      <c r="L79" s="340"/>
      <c r="M79" s="328"/>
      <c r="N79" s="328"/>
      <c r="O79" s="328"/>
      <c r="P79" s="328"/>
      <c r="Q79" s="328"/>
      <c r="R79" s="328"/>
      <c r="S79" s="328"/>
      <c r="T79" s="328"/>
      <c r="U79" s="328"/>
      <c r="V79" s="328"/>
      <c r="W79" s="328"/>
      <c r="X79" s="328"/>
      <c r="Y79" s="328"/>
      <c r="Z79" s="328"/>
    </row>
    <row r="80" ht="15.75" customHeight="1">
      <c r="A80" s="328"/>
      <c r="B80" s="339"/>
      <c r="C80" s="328"/>
      <c r="D80" s="339"/>
      <c r="E80" s="339"/>
      <c r="F80" s="340"/>
      <c r="G80" s="340"/>
      <c r="H80" s="328"/>
      <c r="I80" s="328"/>
      <c r="J80" s="328"/>
      <c r="K80" s="328"/>
      <c r="L80" s="340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  <c r="X80" s="328"/>
      <c r="Y80" s="328"/>
      <c r="Z80" s="328"/>
    </row>
    <row r="81" ht="15.75" customHeight="1">
      <c r="A81" s="328"/>
      <c r="B81" s="339"/>
      <c r="C81" s="328"/>
      <c r="D81" s="339"/>
      <c r="E81" s="339"/>
      <c r="F81" s="340"/>
      <c r="G81" s="340"/>
      <c r="H81" s="328"/>
      <c r="I81" s="328"/>
      <c r="J81" s="328"/>
      <c r="K81" s="328"/>
      <c r="L81" s="340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  <c r="X81" s="328"/>
      <c r="Y81" s="328"/>
      <c r="Z81" s="328"/>
    </row>
    <row r="82" ht="15.75" customHeight="1">
      <c r="A82" s="328"/>
      <c r="B82" s="339"/>
      <c r="C82" s="328"/>
      <c r="D82" s="339"/>
      <c r="E82" s="339"/>
      <c r="F82" s="340"/>
      <c r="G82" s="340"/>
      <c r="H82" s="328"/>
      <c r="I82" s="328"/>
      <c r="J82" s="328"/>
      <c r="K82" s="328"/>
      <c r="L82" s="340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  <c r="Y82" s="328"/>
      <c r="Z82" s="328"/>
    </row>
    <row r="83" ht="15.75" customHeight="1">
      <c r="A83" s="328"/>
      <c r="B83" s="339"/>
      <c r="C83" s="328"/>
      <c r="D83" s="339"/>
      <c r="E83" s="339"/>
      <c r="F83" s="340"/>
      <c r="G83" s="340"/>
      <c r="H83" s="328"/>
      <c r="I83" s="328"/>
      <c r="J83" s="328"/>
      <c r="K83" s="328"/>
      <c r="L83" s="340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  <c r="X83" s="328"/>
      <c r="Y83" s="328"/>
      <c r="Z83" s="328"/>
    </row>
    <row r="84" ht="15.75" customHeight="1">
      <c r="A84" s="328"/>
      <c r="B84" s="339"/>
      <c r="C84" s="328"/>
      <c r="D84" s="339"/>
      <c r="E84" s="339"/>
      <c r="F84" s="340"/>
      <c r="G84" s="340"/>
      <c r="H84" s="328"/>
      <c r="I84" s="328"/>
      <c r="J84" s="328"/>
      <c r="K84" s="328"/>
      <c r="L84" s="340"/>
      <c r="M84" s="328"/>
      <c r="N84" s="328"/>
      <c r="O84" s="328"/>
      <c r="P84" s="328"/>
      <c r="Q84" s="328"/>
      <c r="R84" s="328"/>
      <c r="S84" s="328"/>
      <c r="T84" s="328"/>
      <c r="U84" s="328"/>
      <c r="V84" s="328"/>
      <c r="W84" s="328"/>
      <c r="X84" s="328"/>
      <c r="Y84" s="328"/>
      <c r="Z84" s="328"/>
    </row>
    <row r="85" ht="15.75" customHeight="1">
      <c r="A85" s="328"/>
      <c r="B85" s="339"/>
      <c r="C85" s="328"/>
      <c r="D85" s="339"/>
      <c r="E85" s="339"/>
      <c r="F85" s="340"/>
      <c r="G85" s="340"/>
      <c r="H85" s="328"/>
      <c r="I85" s="328"/>
      <c r="J85" s="328"/>
      <c r="K85" s="328"/>
      <c r="L85" s="340"/>
      <c r="M85" s="328"/>
      <c r="N85" s="328"/>
      <c r="O85" s="328"/>
      <c r="P85" s="328"/>
      <c r="Q85" s="328"/>
      <c r="R85" s="328"/>
      <c r="S85" s="328"/>
      <c r="T85" s="328"/>
      <c r="U85" s="328"/>
      <c r="V85" s="328"/>
      <c r="W85" s="328"/>
      <c r="X85" s="328"/>
      <c r="Y85" s="328"/>
      <c r="Z85" s="328"/>
    </row>
    <row r="86" ht="15.75" customHeight="1">
      <c r="A86" s="328"/>
      <c r="B86" s="339"/>
      <c r="C86" s="328"/>
      <c r="D86" s="339"/>
      <c r="E86" s="339"/>
      <c r="F86" s="340"/>
      <c r="G86" s="340"/>
      <c r="H86" s="328"/>
      <c r="I86" s="328"/>
      <c r="J86" s="328"/>
      <c r="K86" s="328"/>
      <c r="L86" s="340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  <c r="Y86" s="328"/>
      <c r="Z86" s="328"/>
    </row>
    <row r="87" ht="15.75" customHeight="1">
      <c r="A87" s="328"/>
      <c r="B87" s="339"/>
      <c r="C87" s="328"/>
      <c r="D87" s="339"/>
      <c r="E87" s="339"/>
      <c r="F87" s="340"/>
      <c r="G87" s="340"/>
      <c r="H87" s="328"/>
      <c r="I87" s="328"/>
      <c r="J87" s="328"/>
      <c r="K87" s="328"/>
      <c r="L87" s="340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  <c r="X87" s="328"/>
      <c r="Y87" s="328"/>
      <c r="Z87" s="328"/>
    </row>
    <row r="88" ht="15.75" customHeight="1">
      <c r="A88" s="328"/>
      <c r="B88" s="339"/>
      <c r="C88" s="328"/>
      <c r="D88" s="339"/>
      <c r="E88" s="339"/>
      <c r="F88" s="340"/>
      <c r="G88" s="340"/>
      <c r="H88" s="328"/>
      <c r="I88" s="328"/>
      <c r="J88" s="328"/>
      <c r="K88" s="328"/>
      <c r="L88" s="340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  <c r="X88" s="328"/>
      <c r="Y88" s="328"/>
      <c r="Z88" s="328"/>
    </row>
    <row r="89" ht="15.75" customHeight="1">
      <c r="A89" s="328"/>
      <c r="B89" s="339"/>
      <c r="C89" s="328"/>
      <c r="D89" s="339"/>
      <c r="E89" s="339"/>
      <c r="F89" s="340"/>
      <c r="G89" s="340"/>
      <c r="H89" s="328"/>
      <c r="I89" s="328"/>
      <c r="J89" s="328"/>
      <c r="K89" s="328"/>
      <c r="L89" s="340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  <c r="Y89" s="328"/>
      <c r="Z89" s="328"/>
    </row>
    <row r="90" ht="15.75" customHeight="1">
      <c r="A90" s="328"/>
      <c r="B90" s="339"/>
      <c r="C90" s="328"/>
      <c r="D90" s="339"/>
      <c r="E90" s="339"/>
      <c r="F90" s="340"/>
      <c r="G90" s="340"/>
      <c r="H90" s="328"/>
      <c r="I90" s="328"/>
      <c r="J90" s="328"/>
      <c r="K90" s="328"/>
      <c r="L90" s="340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</row>
    <row r="91" ht="15.75" customHeight="1">
      <c r="A91" s="328"/>
      <c r="B91" s="339"/>
      <c r="C91" s="328"/>
      <c r="D91" s="339"/>
      <c r="E91" s="339"/>
      <c r="F91" s="340"/>
      <c r="G91" s="340"/>
      <c r="H91" s="328"/>
      <c r="I91" s="328"/>
      <c r="J91" s="328"/>
      <c r="K91" s="328"/>
      <c r="L91" s="340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</row>
    <row r="92" ht="15.75" customHeight="1">
      <c r="A92" s="328"/>
      <c r="B92" s="339"/>
      <c r="C92" s="328"/>
      <c r="D92" s="339"/>
      <c r="E92" s="339"/>
      <c r="F92" s="340"/>
      <c r="G92" s="340"/>
      <c r="H92" s="328"/>
      <c r="I92" s="328"/>
      <c r="J92" s="328"/>
      <c r="K92" s="328"/>
      <c r="L92" s="340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  <c r="X92" s="328"/>
      <c r="Y92" s="328"/>
      <c r="Z92" s="328"/>
    </row>
    <row r="93" ht="15.75" customHeight="1">
      <c r="A93" s="328"/>
      <c r="B93" s="339"/>
      <c r="C93" s="328"/>
      <c r="D93" s="339"/>
      <c r="E93" s="339"/>
      <c r="F93" s="340"/>
      <c r="G93" s="340"/>
      <c r="H93" s="328"/>
      <c r="I93" s="328"/>
      <c r="J93" s="328"/>
      <c r="K93" s="328"/>
      <c r="L93" s="340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  <c r="X93" s="328"/>
      <c r="Y93" s="328"/>
      <c r="Z93" s="328"/>
    </row>
    <row r="94" ht="15.75" customHeight="1">
      <c r="A94" s="328"/>
      <c r="B94" s="339"/>
      <c r="C94" s="328"/>
      <c r="D94" s="339"/>
      <c r="E94" s="339"/>
      <c r="F94" s="340"/>
      <c r="G94" s="340"/>
      <c r="H94" s="328"/>
      <c r="I94" s="328"/>
      <c r="J94" s="328"/>
      <c r="K94" s="328"/>
      <c r="L94" s="340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  <c r="X94" s="328"/>
      <c r="Y94" s="328"/>
      <c r="Z94" s="328"/>
    </row>
    <row r="95" ht="15.75" customHeight="1">
      <c r="A95" s="328"/>
      <c r="B95" s="339"/>
      <c r="C95" s="328"/>
      <c r="D95" s="339"/>
      <c r="E95" s="339"/>
      <c r="F95" s="340"/>
      <c r="G95" s="340"/>
      <c r="H95" s="328"/>
      <c r="I95" s="328"/>
      <c r="J95" s="328"/>
      <c r="K95" s="328"/>
      <c r="L95" s="340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  <c r="X95" s="328"/>
      <c r="Y95" s="328"/>
      <c r="Z95" s="328"/>
    </row>
    <row r="96" ht="15.75" customHeight="1">
      <c r="A96" s="328"/>
      <c r="B96" s="339"/>
      <c r="C96" s="328"/>
      <c r="D96" s="339"/>
      <c r="E96" s="339"/>
      <c r="F96" s="340"/>
      <c r="G96" s="340"/>
      <c r="H96" s="328"/>
      <c r="I96" s="328"/>
      <c r="J96" s="328"/>
      <c r="K96" s="328"/>
      <c r="L96" s="340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  <c r="Y96" s="328"/>
      <c r="Z96" s="328"/>
    </row>
    <row r="97" ht="15.75" customHeight="1">
      <c r="A97" s="328"/>
      <c r="B97" s="339"/>
      <c r="C97" s="328"/>
      <c r="D97" s="339"/>
      <c r="E97" s="339"/>
      <c r="F97" s="340"/>
      <c r="G97" s="340"/>
      <c r="H97" s="328"/>
      <c r="I97" s="328"/>
      <c r="J97" s="328"/>
      <c r="K97" s="328"/>
      <c r="L97" s="340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  <c r="Y97" s="328"/>
      <c r="Z97" s="328"/>
    </row>
    <row r="98" ht="15.75" customHeight="1">
      <c r="A98" s="328"/>
      <c r="B98" s="339"/>
      <c r="C98" s="328"/>
      <c r="D98" s="339"/>
      <c r="E98" s="339"/>
      <c r="F98" s="340"/>
      <c r="G98" s="340"/>
      <c r="H98" s="328"/>
      <c r="I98" s="328"/>
      <c r="J98" s="328"/>
      <c r="K98" s="328"/>
      <c r="L98" s="340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  <c r="Z98" s="328"/>
    </row>
    <row r="99" ht="15.75" customHeight="1">
      <c r="A99" s="328"/>
      <c r="B99" s="339"/>
      <c r="C99" s="328"/>
      <c r="D99" s="339"/>
      <c r="E99" s="339"/>
      <c r="F99" s="340"/>
      <c r="G99" s="340"/>
      <c r="H99" s="328"/>
      <c r="I99" s="328"/>
      <c r="J99" s="328"/>
      <c r="K99" s="328"/>
      <c r="L99" s="340"/>
      <c r="M99" s="328"/>
      <c r="N99" s="328"/>
      <c r="O99" s="328"/>
      <c r="P99" s="328"/>
      <c r="Q99" s="328"/>
      <c r="R99" s="328"/>
      <c r="S99" s="328"/>
      <c r="T99" s="328"/>
      <c r="U99" s="328"/>
      <c r="V99" s="328"/>
      <c r="W99" s="328"/>
      <c r="X99" s="328"/>
      <c r="Y99" s="328"/>
      <c r="Z99" s="328"/>
    </row>
    <row r="100" ht="15.75" customHeight="1">
      <c r="A100" s="328"/>
      <c r="B100" s="339"/>
      <c r="C100" s="328"/>
      <c r="D100" s="339"/>
      <c r="E100" s="339"/>
      <c r="F100" s="340"/>
      <c r="G100" s="340"/>
      <c r="H100" s="328"/>
      <c r="I100" s="328"/>
      <c r="J100" s="328"/>
      <c r="K100" s="328"/>
      <c r="L100" s="340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  <c r="X100" s="328"/>
      <c r="Y100" s="328"/>
      <c r="Z100" s="328"/>
    </row>
    <row r="101" ht="15.75" customHeight="1">
      <c r="A101" s="328"/>
      <c r="B101" s="339"/>
      <c r="C101" s="328"/>
      <c r="D101" s="339"/>
      <c r="E101" s="339"/>
      <c r="F101" s="340"/>
      <c r="G101" s="340"/>
      <c r="H101" s="328"/>
      <c r="I101" s="328"/>
      <c r="J101" s="328"/>
      <c r="K101" s="328"/>
      <c r="L101" s="340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  <c r="W101" s="328"/>
      <c r="X101" s="328"/>
      <c r="Y101" s="328"/>
      <c r="Z101" s="328"/>
    </row>
    <row r="102" ht="15.75" customHeight="1">
      <c r="A102" s="328"/>
      <c r="B102" s="339"/>
      <c r="C102" s="328"/>
      <c r="D102" s="339"/>
      <c r="E102" s="339"/>
      <c r="F102" s="340"/>
      <c r="G102" s="340"/>
      <c r="H102" s="328"/>
      <c r="I102" s="328"/>
      <c r="J102" s="328"/>
      <c r="K102" s="328"/>
      <c r="L102" s="340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  <c r="Y102" s="328"/>
      <c r="Z102" s="328"/>
    </row>
    <row r="103" ht="15.75" customHeight="1">
      <c r="A103" s="328"/>
      <c r="B103" s="339"/>
      <c r="C103" s="328"/>
      <c r="D103" s="339"/>
      <c r="E103" s="339"/>
      <c r="F103" s="340"/>
      <c r="G103" s="340"/>
      <c r="H103" s="328"/>
      <c r="I103" s="328"/>
      <c r="J103" s="328"/>
      <c r="K103" s="328"/>
      <c r="L103" s="340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328"/>
      <c r="Z103" s="328"/>
    </row>
    <row r="104" ht="15.75" customHeight="1">
      <c r="A104" s="328"/>
      <c r="B104" s="339"/>
      <c r="C104" s="328"/>
      <c r="D104" s="339"/>
      <c r="E104" s="339"/>
      <c r="F104" s="340"/>
      <c r="G104" s="340"/>
      <c r="H104" s="328"/>
      <c r="I104" s="328"/>
      <c r="J104" s="328"/>
      <c r="K104" s="328"/>
      <c r="L104" s="340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  <c r="X104" s="328"/>
      <c r="Y104" s="328"/>
      <c r="Z104" s="328"/>
    </row>
    <row r="105" ht="15.75" customHeight="1">
      <c r="A105" s="328"/>
      <c r="B105" s="339"/>
      <c r="C105" s="328"/>
      <c r="D105" s="339"/>
      <c r="E105" s="339"/>
      <c r="F105" s="340"/>
      <c r="G105" s="340"/>
      <c r="H105" s="328"/>
      <c r="I105" s="328"/>
      <c r="J105" s="328"/>
      <c r="K105" s="328"/>
      <c r="L105" s="340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  <c r="X105" s="328"/>
      <c r="Y105" s="328"/>
      <c r="Z105" s="328"/>
    </row>
    <row r="106" ht="15.75" customHeight="1">
      <c r="A106" s="328"/>
      <c r="B106" s="339"/>
      <c r="C106" s="328"/>
      <c r="D106" s="339"/>
      <c r="E106" s="339"/>
      <c r="F106" s="340"/>
      <c r="G106" s="340"/>
      <c r="H106" s="328"/>
      <c r="I106" s="328"/>
      <c r="J106" s="328"/>
      <c r="K106" s="328"/>
      <c r="L106" s="340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  <c r="X106" s="328"/>
      <c r="Y106" s="328"/>
      <c r="Z106" s="328"/>
    </row>
    <row r="107" ht="15.75" customHeight="1">
      <c r="A107" s="328"/>
      <c r="B107" s="339"/>
      <c r="C107" s="328"/>
      <c r="D107" s="339"/>
      <c r="E107" s="339"/>
      <c r="F107" s="340"/>
      <c r="G107" s="340"/>
      <c r="H107" s="328"/>
      <c r="I107" s="328"/>
      <c r="J107" s="328"/>
      <c r="K107" s="328"/>
      <c r="L107" s="340"/>
      <c r="M107" s="328"/>
      <c r="N107" s="328"/>
      <c r="O107" s="328"/>
      <c r="P107" s="328"/>
      <c r="Q107" s="328"/>
      <c r="R107" s="328"/>
      <c r="S107" s="328"/>
      <c r="T107" s="328"/>
      <c r="U107" s="328"/>
      <c r="V107" s="328"/>
      <c r="W107" s="328"/>
      <c r="X107" s="328"/>
      <c r="Y107" s="328"/>
      <c r="Z107" s="328"/>
    </row>
    <row r="108" ht="15.75" customHeight="1">
      <c r="A108" s="328"/>
      <c r="B108" s="339"/>
      <c r="C108" s="328"/>
      <c r="D108" s="339"/>
      <c r="E108" s="339"/>
      <c r="F108" s="340"/>
      <c r="G108" s="340"/>
      <c r="H108" s="328"/>
      <c r="I108" s="328"/>
      <c r="J108" s="328"/>
      <c r="K108" s="328"/>
      <c r="L108" s="340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  <c r="W108" s="328"/>
      <c r="X108" s="328"/>
      <c r="Y108" s="328"/>
      <c r="Z108" s="328"/>
    </row>
    <row r="109" ht="15.75" customHeight="1">
      <c r="A109" s="328"/>
      <c r="B109" s="339"/>
      <c r="C109" s="328"/>
      <c r="D109" s="339"/>
      <c r="E109" s="339"/>
      <c r="F109" s="340"/>
      <c r="G109" s="340"/>
      <c r="H109" s="328"/>
      <c r="I109" s="328"/>
      <c r="J109" s="328"/>
      <c r="K109" s="328"/>
      <c r="L109" s="340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</row>
    <row r="110" ht="15.75" customHeight="1">
      <c r="A110" s="328"/>
      <c r="B110" s="339"/>
      <c r="C110" s="328"/>
      <c r="D110" s="339"/>
      <c r="E110" s="339"/>
      <c r="F110" s="340"/>
      <c r="G110" s="340"/>
      <c r="H110" s="328"/>
      <c r="I110" s="328"/>
      <c r="J110" s="328"/>
      <c r="K110" s="328"/>
      <c r="L110" s="340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  <c r="X110" s="328"/>
      <c r="Y110" s="328"/>
      <c r="Z110" s="328"/>
    </row>
    <row r="111" ht="15.75" customHeight="1">
      <c r="A111" s="328"/>
      <c r="B111" s="339"/>
      <c r="C111" s="328"/>
      <c r="D111" s="339"/>
      <c r="E111" s="339"/>
      <c r="F111" s="340"/>
      <c r="G111" s="340"/>
      <c r="H111" s="328"/>
      <c r="I111" s="328"/>
      <c r="J111" s="328"/>
      <c r="K111" s="328"/>
      <c r="L111" s="340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28"/>
      <c r="Z111" s="328"/>
    </row>
    <row r="112" ht="15.75" customHeight="1">
      <c r="A112" s="328"/>
      <c r="B112" s="339"/>
      <c r="C112" s="328"/>
      <c r="D112" s="339"/>
      <c r="E112" s="339"/>
      <c r="F112" s="340"/>
      <c r="G112" s="340"/>
      <c r="H112" s="328"/>
      <c r="I112" s="328"/>
      <c r="J112" s="328"/>
      <c r="K112" s="328"/>
      <c r="L112" s="340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28"/>
      <c r="Z112" s="328"/>
    </row>
    <row r="113" ht="15.75" customHeight="1">
      <c r="A113" s="328"/>
      <c r="B113" s="339"/>
      <c r="C113" s="328"/>
      <c r="D113" s="339"/>
      <c r="E113" s="339"/>
      <c r="F113" s="340"/>
      <c r="G113" s="340"/>
      <c r="H113" s="328"/>
      <c r="I113" s="328"/>
      <c r="J113" s="328"/>
      <c r="K113" s="328"/>
      <c r="L113" s="340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328"/>
      <c r="Z113" s="328"/>
    </row>
    <row r="114" ht="15.75" customHeight="1">
      <c r="A114" s="328"/>
      <c r="B114" s="339"/>
      <c r="C114" s="328"/>
      <c r="D114" s="339"/>
      <c r="E114" s="339"/>
      <c r="F114" s="340"/>
      <c r="G114" s="340"/>
      <c r="H114" s="328"/>
      <c r="I114" s="328"/>
      <c r="J114" s="328"/>
      <c r="K114" s="328"/>
      <c r="L114" s="340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</row>
    <row r="115" ht="15.75" customHeight="1">
      <c r="A115" s="328"/>
      <c r="B115" s="339"/>
      <c r="C115" s="328"/>
      <c r="D115" s="339"/>
      <c r="E115" s="339"/>
      <c r="F115" s="340"/>
      <c r="G115" s="340"/>
      <c r="H115" s="328"/>
      <c r="I115" s="328"/>
      <c r="J115" s="328"/>
      <c r="K115" s="328"/>
      <c r="L115" s="340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</row>
    <row r="116" ht="15.75" customHeight="1">
      <c r="A116" s="328"/>
      <c r="B116" s="339"/>
      <c r="C116" s="328"/>
      <c r="D116" s="339"/>
      <c r="E116" s="339"/>
      <c r="F116" s="340"/>
      <c r="G116" s="340"/>
      <c r="H116" s="328"/>
      <c r="I116" s="328"/>
      <c r="J116" s="328"/>
      <c r="K116" s="328"/>
      <c r="L116" s="340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  <c r="Y116" s="328"/>
      <c r="Z116" s="328"/>
    </row>
    <row r="117" ht="15.75" customHeight="1">
      <c r="A117" s="328"/>
      <c r="B117" s="339"/>
      <c r="C117" s="328"/>
      <c r="D117" s="339"/>
      <c r="E117" s="339"/>
      <c r="F117" s="340"/>
      <c r="G117" s="340"/>
      <c r="H117" s="328"/>
      <c r="I117" s="328"/>
      <c r="J117" s="328"/>
      <c r="K117" s="328"/>
      <c r="L117" s="340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  <c r="Z117" s="328"/>
    </row>
    <row r="118" ht="15.75" customHeight="1">
      <c r="A118" s="328"/>
      <c r="B118" s="339"/>
      <c r="C118" s="328"/>
      <c r="D118" s="339"/>
      <c r="E118" s="339"/>
      <c r="F118" s="340"/>
      <c r="G118" s="340"/>
      <c r="H118" s="328"/>
      <c r="I118" s="328"/>
      <c r="J118" s="328"/>
      <c r="K118" s="328"/>
      <c r="L118" s="340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28"/>
      <c r="Z118" s="328"/>
    </row>
    <row r="119" ht="15.75" customHeight="1">
      <c r="A119" s="328"/>
      <c r="B119" s="339"/>
      <c r="C119" s="328"/>
      <c r="D119" s="339"/>
      <c r="E119" s="339"/>
      <c r="F119" s="340"/>
      <c r="G119" s="340"/>
      <c r="H119" s="328"/>
      <c r="I119" s="328"/>
      <c r="J119" s="328"/>
      <c r="K119" s="328"/>
      <c r="L119" s="340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  <c r="Y119" s="328"/>
      <c r="Z119" s="328"/>
    </row>
    <row r="120" ht="15.75" customHeight="1">
      <c r="A120" s="328"/>
      <c r="B120" s="339"/>
      <c r="C120" s="328"/>
      <c r="D120" s="339"/>
      <c r="E120" s="339"/>
      <c r="F120" s="340"/>
      <c r="G120" s="340"/>
      <c r="H120" s="328"/>
      <c r="I120" s="328"/>
      <c r="J120" s="328"/>
      <c r="K120" s="328"/>
      <c r="L120" s="340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  <c r="Y120" s="328"/>
      <c r="Z120" s="328"/>
    </row>
    <row r="121" ht="15.75" customHeight="1">
      <c r="A121" s="328"/>
      <c r="B121" s="339"/>
      <c r="C121" s="328"/>
      <c r="D121" s="339"/>
      <c r="E121" s="339"/>
      <c r="F121" s="340"/>
      <c r="G121" s="340"/>
      <c r="H121" s="328"/>
      <c r="I121" s="328"/>
      <c r="J121" s="328"/>
      <c r="K121" s="328"/>
      <c r="L121" s="340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28"/>
      <c r="Z121" s="328"/>
    </row>
    <row r="122" ht="15.75" customHeight="1">
      <c r="A122" s="328"/>
      <c r="B122" s="339"/>
      <c r="C122" s="328"/>
      <c r="D122" s="339"/>
      <c r="E122" s="339"/>
      <c r="F122" s="340"/>
      <c r="G122" s="340"/>
      <c r="H122" s="328"/>
      <c r="I122" s="328"/>
      <c r="J122" s="328"/>
      <c r="K122" s="328"/>
      <c r="L122" s="340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</row>
    <row r="123" ht="15.75" customHeight="1">
      <c r="A123" s="328"/>
      <c r="B123" s="339"/>
      <c r="C123" s="328"/>
      <c r="D123" s="339"/>
      <c r="E123" s="339"/>
      <c r="F123" s="340"/>
      <c r="G123" s="340"/>
      <c r="H123" s="328"/>
      <c r="I123" s="328"/>
      <c r="J123" s="328"/>
      <c r="K123" s="328"/>
      <c r="L123" s="340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  <c r="Y123" s="328"/>
      <c r="Z123" s="328"/>
    </row>
    <row r="124" ht="15.75" customHeight="1">
      <c r="A124" s="328"/>
      <c r="B124" s="339"/>
      <c r="C124" s="328"/>
      <c r="D124" s="339"/>
      <c r="E124" s="339"/>
      <c r="F124" s="340"/>
      <c r="G124" s="340"/>
      <c r="H124" s="328"/>
      <c r="I124" s="328"/>
      <c r="J124" s="328"/>
      <c r="K124" s="328"/>
      <c r="L124" s="340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  <c r="Y124" s="328"/>
      <c r="Z124" s="328"/>
    </row>
    <row r="125" ht="15.75" customHeight="1">
      <c r="A125" s="328"/>
      <c r="B125" s="339"/>
      <c r="C125" s="328"/>
      <c r="D125" s="339"/>
      <c r="E125" s="339"/>
      <c r="F125" s="340"/>
      <c r="G125" s="340"/>
      <c r="H125" s="328"/>
      <c r="I125" s="328"/>
      <c r="J125" s="328"/>
      <c r="K125" s="328"/>
      <c r="L125" s="340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</row>
    <row r="126" ht="15.75" customHeight="1">
      <c r="A126" s="328"/>
      <c r="B126" s="339"/>
      <c r="C126" s="328"/>
      <c r="D126" s="339"/>
      <c r="E126" s="339"/>
      <c r="F126" s="340"/>
      <c r="G126" s="340"/>
      <c r="H126" s="328"/>
      <c r="I126" s="328"/>
      <c r="J126" s="328"/>
      <c r="K126" s="328"/>
      <c r="L126" s="340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  <c r="Y126" s="328"/>
      <c r="Z126" s="328"/>
    </row>
    <row r="127" ht="15.75" customHeight="1">
      <c r="A127" s="328"/>
      <c r="B127" s="339"/>
      <c r="C127" s="328"/>
      <c r="D127" s="339"/>
      <c r="E127" s="339"/>
      <c r="F127" s="340"/>
      <c r="G127" s="340"/>
      <c r="H127" s="328"/>
      <c r="I127" s="328"/>
      <c r="J127" s="328"/>
      <c r="K127" s="328"/>
      <c r="L127" s="340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328"/>
      <c r="Y127" s="328"/>
      <c r="Z127" s="328"/>
    </row>
    <row r="128" ht="15.75" customHeight="1">
      <c r="A128" s="328"/>
      <c r="B128" s="339"/>
      <c r="C128" s="328"/>
      <c r="D128" s="339"/>
      <c r="E128" s="339"/>
      <c r="F128" s="340"/>
      <c r="G128" s="340"/>
      <c r="H128" s="328"/>
      <c r="I128" s="328"/>
      <c r="J128" s="328"/>
      <c r="K128" s="328"/>
      <c r="L128" s="340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  <c r="Y128" s="328"/>
      <c r="Z128" s="328"/>
    </row>
    <row r="129" ht="15.75" customHeight="1">
      <c r="A129" s="328"/>
      <c r="B129" s="339"/>
      <c r="C129" s="328"/>
      <c r="D129" s="339"/>
      <c r="E129" s="339"/>
      <c r="F129" s="340"/>
      <c r="G129" s="340"/>
      <c r="H129" s="328"/>
      <c r="I129" s="328"/>
      <c r="J129" s="328"/>
      <c r="K129" s="328"/>
      <c r="L129" s="340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  <c r="Y129" s="328"/>
      <c r="Z129" s="328"/>
    </row>
    <row r="130" ht="15.75" customHeight="1">
      <c r="A130" s="328"/>
      <c r="B130" s="339"/>
      <c r="C130" s="328"/>
      <c r="D130" s="339"/>
      <c r="E130" s="339"/>
      <c r="F130" s="340"/>
      <c r="G130" s="340"/>
      <c r="H130" s="328"/>
      <c r="I130" s="328"/>
      <c r="J130" s="328"/>
      <c r="K130" s="328"/>
      <c r="L130" s="340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  <c r="Y130" s="328"/>
      <c r="Z130" s="328"/>
    </row>
    <row r="131" ht="15.75" customHeight="1">
      <c r="A131" s="328"/>
      <c r="B131" s="339"/>
      <c r="C131" s="328"/>
      <c r="D131" s="339"/>
      <c r="E131" s="339"/>
      <c r="F131" s="340"/>
      <c r="G131" s="340"/>
      <c r="H131" s="328"/>
      <c r="I131" s="328"/>
      <c r="J131" s="328"/>
      <c r="K131" s="328"/>
      <c r="L131" s="340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  <c r="X131" s="328"/>
      <c r="Y131" s="328"/>
      <c r="Z131" s="328"/>
    </row>
    <row r="132" ht="15.75" customHeight="1">
      <c r="A132" s="328"/>
      <c r="B132" s="339"/>
      <c r="C132" s="328"/>
      <c r="D132" s="339"/>
      <c r="E132" s="339"/>
      <c r="F132" s="340"/>
      <c r="G132" s="340"/>
      <c r="H132" s="328"/>
      <c r="I132" s="328"/>
      <c r="J132" s="328"/>
      <c r="K132" s="328"/>
      <c r="L132" s="340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  <c r="Y132" s="328"/>
      <c r="Z132" s="328"/>
    </row>
    <row r="133" ht="15.75" customHeight="1">
      <c r="A133" s="328"/>
      <c r="B133" s="339"/>
      <c r="C133" s="328"/>
      <c r="D133" s="339"/>
      <c r="E133" s="339"/>
      <c r="F133" s="340"/>
      <c r="G133" s="340"/>
      <c r="H133" s="328"/>
      <c r="I133" s="328"/>
      <c r="J133" s="328"/>
      <c r="K133" s="328"/>
      <c r="L133" s="340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  <c r="X133" s="328"/>
      <c r="Y133" s="328"/>
      <c r="Z133" s="328"/>
    </row>
    <row r="134" ht="15.75" customHeight="1">
      <c r="A134" s="328"/>
      <c r="B134" s="339"/>
      <c r="C134" s="328"/>
      <c r="D134" s="339"/>
      <c r="E134" s="339"/>
      <c r="F134" s="340"/>
      <c r="G134" s="340"/>
      <c r="H134" s="328"/>
      <c r="I134" s="328"/>
      <c r="J134" s="328"/>
      <c r="K134" s="328"/>
      <c r="L134" s="340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  <c r="Y134" s="328"/>
      <c r="Z134" s="328"/>
    </row>
    <row r="135" ht="15.75" customHeight="1">
      <c r="A135" s="328"/>
      <c r="B135" s="339"/>
      <c r="C135" s="328"/>
      <c r="D135" s="339"/>
      <c r="E135" s="339"/>
      <c r="F135" s="340"/>
      <c r="G135" s="340"/>
      <c r="H135" s="328"/>
      <c r="I135" s="328"/>
      <c r="J135" s="328"/>
      <c r="K135" s="328"/>
      <c r="L135" s="340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  <c r="X135" s="328"/>
      <c r="Y135" s="328"/>
      <c r="Z135" s="328"/>
    </row>
    <row r="136" ht="15.75" customHeight="1">
      <c r="A136" s="328"/>
      <c r="B136" s="339"/>
      <c r="C136" s="328"/>
      <c r="D136" s="339"/>
      <c r="E136" s="339"/>
      <c r="F136" s="340"/>
      <c r="G136" s="340"/>
      <c r="H136" s="328"/>
      <c r="I136" s="328"/>
      <c r="J136" s="328"/>
      <c r="K136" s="328"/>
      <c r="L136" s="340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  <c r="Y136" s="328"/>
      <c r="Z136" s="328"/>
    </row>
    <row r="137" ht="15.75" customHeight="1">
      <c r="A137" s="328"/>
      <c r="B137" s="339"/>
      <c r="C137" s="328"/>
      <c r="D137" s="339"/>
      <c r="E137" s="339"/>
      <c r="F137" s="340"/>
      <c r="G137" s="340"/>
      <c r="H137" s="328"/>
      <c r="I137" s="328"/>
      <c r="J137" s="328"/>
      <c r="K137" s="328"/>
      <c r="L137" s="340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  <c r="X137" s="328"/>
      <c r="Y137" s="328"/>
      <c r="Z137" s="328"/>
    </row>
    <row r="138" ht="15.75" customHeight="1">
      <c r="A138" s="328"/>
      <c r="B138" s="339"/>
      <c r="C138" s="328"/>
      <c r="D138" s="339"/>
      <c r="E138" s="339"/>
      <c r="F138" s="340"/>
      <c r="G138" s="340"/>
      <c r="H138" s="328"/>
      <c r="I138" s="328"/>
      <c r="J138" s="328"/>
      <c r="K138" s="328"/>
      <c r="L138" s="340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  <c r="Y138" s="328"/>
      <c r="Z138" s="328"/>
    </row>
    <row r="139" ht="15.75" customHeight="1">
      <c r="A139" s="328"/>
      <c r="B139" s="339"/>
      <c r="C139" s="328"/>
      <c r="D139" s="339"/>
      <c r="E139" s="339"/>
      <c r="F139" s="340"/>
      <c r="G139" s="340"/>
      <c r="H139" s="328"/>
      <c r="I139" s="328"/>
      <c r="J139" s="328"/>
      <c r="K139" s="328"/>
      <c r="L139" s="340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  <c r="X139" s="328"/>
      <c r="Y139" s="328"/>
      <c r="Z139" s="328"/>
    </row>
    <row r="140" ht="15.75" customHeight="1">
      <c r="A140" s="328"/>
      <c r="B140" s="339"/>
      <c r="C140" s="328"/>
      <c r="D140" s="339"/>
      <c r="E140" s="339"/>
      <c r="F140" s="340"/>
      <c r="G140" s="340"/>
      <c r="H140" s="328"/>
      <c r="I140" s="328"/>
      <c r="J140" s="328"/>
      <c r="K140" s="328"/>
      <c r="L140" s="340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  <c r="Y140" s="328"/>
      <c r="Z140" s="328"/>
    </row>
    <row r="141" ht="15.75" customHeight="1">
      <c r="A141" s="328"/>
      <c r="B141" s="339"/>
      <c r="C141" s="328"/>
      <c r="D141" s="339"/>
      <c r="E141" s="339"/>
      <c r="F141" s="340"/>
      <c r="G141" s="340"/>
      <c r="H141" s="328"/>
      <c r="I141" s="328"/>
      <c r="J141" s="328"/>
      <c r="K141" s="328"/>
      <c r="L141" s="340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  <c r="X141" s="328"/>
      <c r="Y141" s="328"/>
      <c r="Z141" s="328"/>
    </row>
    <row r="142" ht="15.75" customHeight="1">
      <c r="A142" s="328"/>
      <c r="B142" s="339"/>
      <c r="C142" s="328"/>
      <c r="D142" s="339"/>
      <c r="E142" s="339"/>
      <c r="F142" s="340"/>
      <c r="G142" s="340"/>
      <c r="H142" s="328"/>
      <c r="I142" s="328"/>
      <c r="J142" s="328"/>
      <c r="K142" s="328"/>
      <c r="L142" s="340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  <c r="Y142" s="328"/>
      <c r="Z142" s="328"/>
    </row>
    <row r="143" ht="15.75" customHeight="1">
      <c r="A143" s="328"/>
      <c r="B143" s="339"/>
      <c r="C143" s="328"/>
      <c r="D143" s="339"/>
      <c r="E143" s="339"/>
      <c r="F143" s="340"/>
      <c r="G143" s="340"/>
      <c r="H143" s="328"/>
      <c r="I143" s="328"/>
      <c r="J143" s="328"/>
      <c r="K143" s="328"/>
      <c r="L143" s="340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  <c r="X143" s="328"/>
      <c r="Y143" s="328"/>
      <c r="Z143" s="328"/>
    </row>
    <row r="144" ht="15.75" customHeight="1">
      <c r="A144" s="328"/>
      <c r="B144" s="339"/>
      <c r="C144" s="328"/>
      <c r="D144" s="339"/>
      <c r="E144" s="339"/>
      <c r="F144" s="340"/>
      <c r="G144" s="340"/>
      <c r="H144" s="328"/>
      <c r="I144" s="328"/>
      <c r="J144" s="328"/>
      <c r="K144" s="328"/>
      <c r="L144" s="340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  <c r="Y144" s="328"/>
      <c r="Z144" s="328"/>
    </row>
    <row r="145" ht="15.75" customHeight="1">
      <c r="A145" s="328"/>
      <c r="B145" s="339"/>
      <c r="C145" s="328"/>
      <c r="D145" s="339"/>
      <c r="E145" s="339"/>
      <c r="F145" s="340"/>
      <c r="G145" s="340"/>
      <c r="H145" s="328"/>
      <c r="I145" s="328"/>
      <c r="J145" s="328"/>
      <c r="K145" s="328"/>
      <c r="L145" s="340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  <c r="X145" s="328"/>
      <c r="Y145" s="328"/>
      <c r="Z145" s="328"/>
    </row>
    <row r="146" ht="15.75" customHeight="1">
      <c r="A146" s="328"/>
      <c r="B146" s="339"/>
      <c r="C146" s="328"/>
      <c r="D146" s="339"/>
      <c r="E146" s="339"/>
      <c r="F146" s="340"/>
      <c r="G146" s="340"/>
      <c r="H146" s="328"/>
      <c r="I146" s="328"/>
      <c r="J146" s="328"/>
      <c r="K146" s="328"/>
      <c r="L146" s="340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  <c r="Y146" s="328"/>
      <c r="Z146" s="328"/>
    </row>
    <row r="147" ht="15.75" customHeight="1">
      <c r="A147" s="328"/>
      <c r="B147" s="339"/>
      <c r="C147" s="328"/>
      <c r="D147" s="339"/>
      <c r="E147" s="339"/>
      <c r="F147" s="340"/>
      <c r="G147" s="340"/>
      <c r="H147" s="328"/>
      <c r="I147" s="328"/>
      <c r="J147" s="328"/>
      <c r="K147" s="328"/>
      <c r="L147" s="340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  <c r="X147" s="328"/>
      <c r="Y147" s="328"/>
      <c r="Z147" s="328"/>
    </row>
    <row r="148" ht="15.75" customHeight="1">
      <c r="A148" s="328"/>
      <c r="B148" s="339"/>
      <c r="C148" s="328"/>
      <c r="D148" s="339"/>
      <c r="E148" s="339"/>
      <c r="F148" s="340"/>
      <c r="G148" s="340"/>
      <c r="H148" s="328"/>
      <c r="I148" s="328"/>
      <c r="J148" s="328"/>
      <c r="K148" s="328"/>
      <c r="L148" s="340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  <c r="X148" s="328"/>
      <c r="Y148" s="328"/>
      <c r="Z148" s="328"/>
    </row>
    <row r="149" ht="15.75" customHeight="1">
      <c r="A149" s="328"/>
      <c r="B149" s="339"/>
      <c r="C149" s="328"/>
      <c r="D149" s="339"/>
      <c r="E149" s="339"/>
      <c r="F149" s="340"/>
      <c r="G149" s="340"/>
      <c r="H149" s="328"/>
      <c r="I149" s="328"/>
      <c r="J149" s="328"/>
      <c r="K149" s="328"/>
      <c r="L149" s="340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  <c r="X149" s="328"/>
      <c r="Y149" s="328"/>
      <c r="Z149" s="328"/>
    </row>
    <row r="150" ht="15.75" customHeight="1">
      <c r="A150" s="328"/>
      <c r="B150" s="339"/>
      <c r="C150" s="328"/>
      <c r="D150" s="339"/>
      <c r="E150" s="339"/>
      <c r="F150" s="340"/>
      <c r="G150" s="340"/>
      <c r="H150" s="328"/>
      <c r="I150" s="328"/>
      <c r="J150" s="328"/>
      <c r="K150" s="328"/>
      <c r="L150" s="340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  <c r="Y150" s="328"/>
      <c r="Z150" s="328"/>
    </row>
    <row r="151" ht="15.75" customHeight="1">
      <c r="A151" s="328"/>
      <c r="B151" s="339"/>
      <c r="C151" s="328"/>
      <c r="D151" s="339"/>
      <c r="E151" s="339"/>
      <c r="F151" s="340"/>
      <c r="G151" s="340"/>
      <c r="H151" s="328"/>
      <c r="I151" s="328"/>
      <c r="J151" s="328"/>
      <c r="K151" s="328"/>
      <c r="L151" s="340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  <c r="X151" s="328"/>
      <c r="Y151" s="328"/>
      <c r="Z151" s="328"/>
    </row>
    <row r="152" ht="15.75" customHeight="1">
      <c r="A152" s="328"/>
      <c r="B152" s="339"/>
      <c r="C152" s="328"/>
      <c r="D152" s="339"/>
      <c r="E152" s="339"/>
      <c r="F152" s="340"/>
      <c r="G152" s="340"/>
      <c r="H152" s="328"/>
      <c r="I152" s="328"/>
      <c r="J152" s="328"/>
      <c r="K152" s="328"/>
      <c r="L152" s="340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  <c r="Y152" s="328"/>
      <c r="Z152" s="328"/>
    </row>
    <row r="153" ht="15.75" customHeight="1">
      <c r="A153" s="328"/>
      <c r="B153" s="339"/>
      <c r="C153" s="328"/>
      <c r="D153" s="339"/>
      <c r="E153" s="339"/>
      <c r="F153" s="340"/>
      <c r="G153" s="340"/>
      <c r="H153" s="328"/>
      <c r="I153" s="328"/>
      <c r="J153" s="328"/>
      <c r="K153" s="328"/>
      <c r="L153" s="340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  <c r="X153" s="328"/>
      <c r="Y153" s="328"/>
      <c r="Z153" s="328"/>
    </row>
    <row r="154" ht="15.75" customHeight="1">
      <c r="A154" s="328"/>
      <c r="B154" s="339"/>
      <c r="C154" s="328"/>
      <c r="D154" s="339"/>
      <c r="E154" s="339"/>
      <c r="F154" s="340"/>
      <c r="G154" s="340"/>
      <c r="H154" s="328"/>
      <c r="I154" s="328"/>
      <c r="J154" s="328"/>
      <c r="K154" s="328"/>
      <c r="L154" s="340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  <c r="Y154" s="328"/>
      <c r="Z154" s="328"/>
    </row>
    <row r="155" ht="15.75" customHeight="1">
      <c r="A155" s="328"/>
      <c r="B155" s="339"/>
      <c r="C155" s="328"/>
      <c r="D155" s="339"/>
      <c r="E155" s="339"/>
      <c r="F155" s="340"/>
      <c r="G155" s="340"/>
      <c r="H155" s="328"/>
      <c r="I155" s="328"/>
      <c r="J155" s="328"/>
      <c r="K155" s="328"/>
      <c r="L155" s="340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  <c r="X155" s="328"/>
      <c r="Y155" s="328"/>
      <c r="Z155" s="328"/>
    </row>
    <row r="156" ht="15.75" customHeight="1">
      <c r="A156" s="328"/>
      <c r="B156" s="339"/>
      <c r="C156" s="328"/>
      <c r="D156" s="339"/>
      <c r="E156" s="339"/>
      <c r="F156" s="340"/>
      <c r="G156" s="340"/>
      <c r="H156" s="328"/>
      <c r="I156" s="328"/>
      <c r="J156" s="328"/>
      <c r="K156" s="328"/>
      <c r="L156" s="340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  <c r="Y156" s="328"/>
      <c r="Z156" s="328"/>
    </row>
    <row r="157" ht="15.75" customHeight="1">
      <c r="A157" s="328"/>
      <c r="B157" s="339"/>
      <c r="C157" s="328"/>
      <c r="D157" s="339"/>
      <c r="E157" s="339"/>
      <c r="F157" s="340"/>
      <c r="G157" s="340"/>
      <c r="H157" s="328"/>
      <c r="I157" s="328"/>
      <c r="J157" s="328"/>
      <c r="K157" s="328"/>
      <c r="L157" s="340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  <c r="Y157" s="328"/>
      <c r="Z157" s="328"/>
    </row>
    <row r="158" ht="15.75" customHeight="1">
      <c r="A158" s="328"/>
      <c r="B158" s="339"/>
      <c r="C158" s="328"/>
      <c r="D158" s="339"/>
      <c r="E158" s="339"/>
      <c r="F158" s="340"/>
      <c r="G158" s="340"/>
      <c r="H158" s="328"/>
      <c r="I158" s="328"/>
      <c r="J158" s="328"/>
      <c r="K158" s="328"/>
      <c r="L158" s="340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  <c r="Z158" s="328"/>
    </row>
    <row r="159" ht="15.75" customHeight="1">
      <c r="A159" s="328"/>
      <c r="B159" s="339"/>
      <c r="C159" s="328"/>
      <c r="D159" s="339"/>
      <c r="E159" s="339"/>
      <c r="F159" s="340"/>
      <c r="G159" s="340"/>
      <c r="H159" s="328"/>
      <c r="I159" s="328"/>
      <c r="J159" s="328"/>
      <c r="K159" s="328"/>
      <c r="L159" s="340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  <c r="Y159" s="328"/>
      <c r="Z159" s="328"/>
    </row>
    <row r="160" ht="15.75" customHeight="1">
      <c r="A160" s="328"/>
      <c r="B160" s="339"/>
      <c r="C160" s="328"/>
      <c r="D160" s="339"/>
      <c r="E160" s="339"/>
      <c r="F160" s="340"/>
      <c r="G160" s="340"/>
      <c r="H160" s="328"/>
      <c r="I160" s="328"/>
      <c r="J160" s="328"/>
      <c r="K160" s="328"/>
      <c r="L160" s="340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  <c r="Y160" s="328"/>
      <c r="Z160" s="328"/>
    </row>
    <row r="161" ht="15.75" customHeight="1">
      <c r="A161" s="328"/>
      <c r="B161" s="339"/>
      <c r="C161" s="328"/>
      <c r="D161" s="339"/>
      <c r="E161" s="339"/>
      <c r="F161" s="340"/>
      <c r="G161" s="340"/>
      <c r="H161" s="328"/>
      <c r="I161" s="328"/>
      <c r="J161" s="328"/>
      <c r="K161" s="328"/>
      <c r="L161" s="340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  <c r="Y161" s="328"/>
      <c r="Z161" s="328"/>
    </row>
    <row r="162" ht="15.75" customHeight="1">
      <c r="A162" s="328"/>
      <c r="B162" s="339"/>
      <c r="C162" s="328"/>
      <c r="D162" s="339"/>
      <c r="E162" s="339"/>
      <c r="F162" s="340"/>
      <c r="G162" s="340"/>
      <c r="H162" s="328"/>
      <c r="I162" s="328"/>
      <c r="J162" s="328"/>
      <c r="K162" s="328"/>
      <c r="L162" s="340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  <c r="Y162" s="328"/>
      <c r="Z162" s="328"/>
    </row>
    <row r="163" ht="15.75" customHeight="1">
      <c r="A163" s="328"/>
      <c r="B163" s="339"/>
      <c r="C163" s="328"/>
      <c r="D163" s="339"/>
      <c r="E163" s="339"/>
      <c r="F163" s="340"/>
      <c r="G163" s="340"/>
      <c r="H163" s="328"/>
      <c r="I163" s="328"/>
      <c r="J163" s="328"/>
      <c r="K163" s="328"/>
      <c r="L163" s="340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  <c r="X163" s="328"/>
      <c r="Y163" s="328"/>
      <c r="Z163" s="328"/>
    </row>
    <row r="164" ht="15.75" customHeight="1">
      <c r="A164" s="328"/>
      <c r="B164" s="339"/>
      <c r="C164" s="328"/>
      <c r="D164" s="339"/>
      <c r="E164" s="339"/>
      <c r="F164" s="340"/>
      <c r="G164" s="340"/>
      <c r="H164" s="328"/>
      <c r="I164" s="328"/>
      <c r="J164" s="328"/>
      <c r="K164" s="328"/>
      <c r="L164" s="340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  <c r="Y164" s="328"/>
      <c r="Z164" s="328"/>
    </row>
    <row r="165" ht="15.75" customHeight="1">
      <c r="A165" s="328"/>
      <c r="B165" s="339"/>
      <c r="C165" s="328"/>
      <c r="D165" s="339"/>
      <c r="E165" s="339"/>
      <c r="F165" s="340"/>
      <c r="G165" s="340"/>
      <c r="H165" s="328"/>
      <c r="I165" s="328"/>
      <c r="J165" s="328"/>
      <c r="K165" s="328"/>
      <c r="L165" s="340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  <c r="X165" s="328"/>
      <c r="Y165" s="328"/>
      <c r="Z165" s="328"/>
    </row>
    <row r="166" ht="15.75" customHeight="1">
      <c r="A166" s="328"/>
      <c r="B166" s="339"/>
      <c r="C166" s="328"/>
      <c r="D166" s="339"/>
      <c r="E166" s="339"/>
      <c r="F166" s="340"/>
      <c r="G166" s="340"/>
      <c r="H166" s="328"/>
      <c r="I166" s="328"/>
      <c r="J166" s="328"/>
      <c r="K166" s="328"/>
      <c r="L166" s="340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  <c r="Y166" s="328"/>
      <c r="Z166" s="328"/>
    </row>
    <row r="167" ht="15.75" customHeight="1">
      <c r="A167" s="328"/>
      <c r="B167" s="339"/>
      <c r="C167" s="328"/>
      <c r="D167" s="339"/>
      <c r="E167" s="339"/>
      <c r="F167" s="340"/>
      <c r="G167" s="340"/>
      <c r="H167" s="328"/>
      <c r="I167" s="328"/>
      <c r="J167" s="328"/>
      <c r="K167" s="328"/>
      <c r="L167" s="340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328"/>
      <c r="Y167" s="328"/>
      <c r="Z167" s="328"/>
    </row>
    <row r="168" ht="15.75" customHeight="1">
      <c r="A168" s="328"/>
      <c r="B168" s="339"/>
      <c r="C168" s="328"/>
      <c r="D168" s="339"/>
      <c r="E168" s="339"/>
      <c r="F168" s="340"/>
      <c r="G168" s="340"/>
      <c r="H168" s="328"/>
      <c r="I168" s="328"/>
      <c r="J168" s="328"/>
      <c r="K168" s="328"/>
      <c r="L168" s="340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  <c r="Y168" s="328"/>
      <c r="Z168" s="328"/>
    </row>
    <row r="169" ht="15.75" customHeight="1">
      <c r="A169" s="328"/>
      <c r="B169" s="339"/>
      <c r="C169" s="328"/>
      <c r="D169" s="339"/>
      <c r="E169" s="339"/>
      <c r="F169" s="340"/>
      <c r="G169" s="340"/>
      <c r="H169" s="328"/>
      <c r="I169" s="328"/>
      <c r="J169" s="328"/>
      <c r="K169" s="328"/>
      <c r="L169" s="340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/>
      <c r="Y169" s="328"/>
      <c r="Z169" s="328"/>
    </row>
    <row r="170" ht="15.75" customHeight="1">
      <c r="A170" s="328"/>
      <c r="B170" s="339"/>
      <c r="C170" s="328"/>
      <c r="D170" s="339"/>
      <c r="E170" s="339"/>
      <c r="F170" s="340"/>
      <c r="G170" s="340"/>
      <c r="H170" s="328"/>
      <c r="I170" s="328"/>
      <c r="J170" s="328"/>
      <c r="K170" s="328"/>
      <c r="L170" s="340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  <c r="Y170" s="328"/>
      <c r="Z170" s="328"/>
    </row>
    <row r="171" ht="15.75" customHeight="1">
      <c r="A171" s="328"/>
      <c r="B171" s="339"/>
      <c r="C171" s="328"/>
      <c r="D171" s="339"/>
      <c r="E171" s="339"/>
      <c r="F171" s="340"/>
      <c r="G171" s="340"/>
      <c r="H171" s="328"/>
      <c r="I171" s="328"/>
      <c r="J171" s="328"/>
      <c r="K171" s="328"/>
      <c r="L171" s="340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</row>
    <row r="172" ht="15.75" customHeight="1">
      <c r="A172" s="328"/>
      <c r="B172" s="339"/>
      <c r="C172" s="328"/>
      <c r="D172" s="339"/>
      <c r="E172" s="339"/>
      <c r="F172" s="340"/>
      <c r="G172" s="340"/>
      <c r="H172" s="328"/>
      <c r="I172" s="328"/>
      <c r="J172" s="328"/>
      <c r="K172" s="328"/>
      <c r="L172" s="340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  <c r="Y172" s="328"/>
      <c r="Z172" s="328"/>
    </row>
    <row r="173" ht="15.75" customHeight="1">
      <c r="A173" s="328"/>
      <c r="B173" s="339"/>
      <c r="C173" s="328"/>
      <c r="D173" s="339"/>
      <c r="E173" s="339"/>
      <c r="F173" s="340"/>
      <c r="G173" s="340"/>
      <c r="H173" s="328"/>
      <c r="I173" s="328"/>
      <c r="J173" s="328"/>
      <c r="K173" s="328"/>
      <c r="L173" s="340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  <c r="Y173" s="328"/>
      <c r="Z173" s="328"/>
    </row>
    <row r="174" ht="15.75" customHeight="1">
      <c r="A174" s="328"/>
      <c r="B174" s="339"/>
      <c r="C174" s="328"/>
      <c r="D174" s="339"/>
      <c r="E174" s="339"/>
      <c r="F174" s="340"/>
      <c r="G174" s="340"/>
      <c r="H174" s="328"/>
      <c r="I174" s="328"/>
      <c r="J174" s="328"/>
      <c r="K174" s="328"/>
      <c r="L174" s="340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  <c r="Y174" s="328"/>
      <c r="Z174" s="328"/>
    </row>
    <row r="175" ht="15.75" customHeight="1">
      <c r="A175" s="328"/>
      <c r="B175" s="339"/>
      <c r="C175" s="328"/>
      <c r="D175" s="339"/>
      <c r="E175" s="339"/>
      <c r="F175" s="340"/>
      <c r="G175" s="340"/>
      <c r="H175" s="328"/>
      <c r="I175" s="328"/>
      <c r="J175" s="328"/>
      <c r="K175" s="328"/>
      <c r="L175" s="340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  <c r="X175" s="328"/>
      <c r="Y175" s="328"/>
      <c r="Z175" s="328"/>
    </row>
    <row r="176" ht="15.75" customHeight="1">
      <c r="A176" s="328"/>
      <c r="B176" s="339"/>
      <c r="C176" s="328"/>
      <c r="D176" s="339"/>
      <c r="E176" s="339"/>
      <c r="F176" s="340"/>
      <c r="G176" s="340"/>
      <c r="H176" s="328"/>
      <c r="I176" s="328"/>
      <c r="J176" s="328"/>
      <c r="K176" s="328"/>
      <c r="L176" s="340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  <c r="Y176" s="328"/>
      <c r="Z176" s="328"/>
    </row>
    <row r="177" ht="15.75" customHeight="1">
      <c r="A177" s="328"/>
      <c r="B177" s="339"/>
      <c r="C177" s="328"/>
      <c r="D177" s="339"/>
      <c r="E177" s="339"/>
      <c r="F177" s="340"/>
      <c r="G177" s="340"/>
      <c r="H177" s="328"/>
      <c r="I177" s="328"/>
      <c r="J177" s="328"/>
      <c r="K177" s="328"/>
      <c r="L177" s="340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  <c r="Z177" s="328"/>
    </row>
    <row r="178" ht="15.75" customHeight="1">
      <c r="A178" s="328"/>
      <c r="B178" s="339"/>
      <c r="C178" s="328"/>
      <c r="D178" s="339"/>
      <c r="E178" s="339"/>
      <c r="F178" s="340"/>
      <c r="G178" s="340"/>
      <c r="H178" s="328"/>
      <c r="I178" s="328"/>
      <c r="J178" s="328"/>
      <c r="K178" s="328"/>
      <c r="L178" s="340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  <c r="Y178" s="328"/>
      <c r="Z178" s="328"/>
    </row>
    <row r="179" ht="15.75" customHeight="1">
      <c r="A179" s="328"/>
      <c r="B179" s="339"/>
      <c r="C179" s="328"/>
      <c r="D179" s="339"/>
      <c r="E179" s="339"/>
      <c r="F179" s="340"/>
      <c r="G179" s="340"/>
      <c r="H179" s="328"/>
      <c r="I179" s="328"/>
      <c r="J179" s="328"/>
      <c r="K179" s="328"/>
      <c r="L179" s="340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  <c r="Y179" s="328"/>
      <c r="Z179" s="328"/>
    </row>
    <row r="180" ht="15.75" customHeight="1">
      <c r="A180" s="328"/>
      <c r="B180" s="339"/>
      <c r="C180" s="328"/>
      <c r="D180" s="339"/>
      <c r="E180" s="339"/>
      <c r="F180" s="340"/>
      <c r="G180" s="340"/>
      <c r="H180" s="328"/>
      <c r="I180" s="328"/>
      <c r="J180" s="328"/>
      <c r="K180" s="328"/>
      <c r="L180" s="340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  <c r="Y180" s="328"/>
      <c r="Z180" s="328"/>
    </row>
    <row r="181" ht="15.75" customHeight="1">
      <c r="A181" s="328"/>
      <c r="B181" s="339"/>
      <c r="C181" s="328"/>
      <c r="D181" s="339"/>
      <c r="E181" s="339"/>
      <c r="F181" s="340"/>
      <c r="G181" s="340"/>
      <c r="H181" s="328"/>
      <c r="I181" s="328"/>
      <c r="J181" s="328"/>
      <c r="K181" s="328"/>
      <c r="L181" s="340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  <c r="X181" s="328"/>
      <c r="Y181" s="328"/>
      <c r="Z181" s="328"/>
    </row>
    <row r="182" ht="15.75" customHeight="1">
      <c r="A182" s="328"/>
      <c r="B182" s="339"/>
      <c r="C182" s="328"/>
      <c r="D182" s="339"/>
      <c r="E182" s="339"/>
      <c r="F182" s="340"/>
      <c r="G182" s="340"/>
      <c r="H182" s="328"/>
      <c r="I182" s="328"/>
      <c r="J182" s="328"/>
      <c r="K182" s="328"/>
      <c r="L182" s="340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  <c r="Y182" s="328"/>
      <c r="Z182" s="328"/>
    </row>
    <row r="183" ht="15.75" customHeight="1">
      <c r="A183" s="328"/>
      <c r="B183" s="339"/>
      <c r="C183" s="328"/>
      <c r="D183" s="339"/>
      <c r="E183" s="339"/>
      <c r="F183" s="340"/>
      <c r="G183" s="340"/>
      <c r="H183" s="328"/>
      <c r="I183" s="328"/>
      <c r="J183" s="328"/>
      <c r="K183" s="328"/>
      <c r="L183" s="340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  <c r="Y183" s="328"/>
      <c r="Z183" s="328"/>
    </row>
    <row r="184" ht="15.75" customHeight="1">
      <c r="A184" s="328"/>
      <c r="B184" s="339"/>
      <c r="C184" s="328"/>
      <c r="D184" s="339"/>
      <c r="E184" s="339"/>
      <c r="F184" s="340"/>
      <c r="G184" s="340"/>
      <c r="H184" s="328"/>
      <c r="I184" s="328"/>
      <c r="J184" s="328"/>
      <c r="K184" s="328"/>
      <c r="L184" s="340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  <c r="Y184" s="328"/>
      <c r="Z184" s="328"/>
    </row>
    <row r="185" ht="15.75" customHeight="1">
      <c r="A185" s="328"/>
      <c r="B185" s="339"/>
      <c r="C185" s="328"/>
      <c r="D185" s="339"/>
      <c r="E185" s="339"/>
      <c r="F185" s="340"/>
      <c r="G185" s="340"/>
      <c r="H185" s="328"/>
      <c r="I185" s="328"/>
      <c r="J185" s="328"/>
      <c r="K185" s="328"/>
      <c r="L185" s="340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  <c r="X185" s="328"/>
      <c r="Y185" s="328"/>
      <c r="Z185" s="328"/>
    </row>
    <row r="186" ht="15.75" customHeight="1">
      <c r="A186" s="328"/>
      <c r="B186" s="339"/>
      <c r="C186" s="328"/>
      <c r="D186" s="339"/>
      <c r="E186" s="339"/>
      <c r="F186" s="340"/>
      <c r="G186" s="340"/>
      <c r="H186" s="328"/>
      <c r="I186" s="328"/>
      <c r="J186" s="328"/>
      <c r="K186" s="328"/>
      <c r="L186" s="340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  <c r="Y186" s="328"/>
      <c r="Z186" s="328"/>
    </row>
    <row r="187" ht="15.75" customHeight="1">
      <c r="A187" s="328"/>
      <c r="B187" s="339"/>
      <c r="C187" s="328"/>
      <c r="D187" s="339"/>
      <c r="E187" s="339"/>
      <c r="F187" s="340"/>
      <c r="G187" s="340"/>
      <c r="H187" s="328"/>
      <c r="I187" s="328"/>
      <c r="J187" s="328"/>
      <c r="K187" s="328"/>
      <c r="L187" s="340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</row>
    <row r="188" ht="15.75" customHeight="1">
      <c r="A188" s="328"/>
      <c r="B188" s="339"/>
      <c r="C188" s="328"/>
      <c r="D188" s="339"/>
      <c r="E188" s="339"/>
      <c r="F188" s="340"/>
      <c r="G188" s="340"/>
      <c r="H188" s="328"/>
      <c r="I188" s="328"/>
      <c r="J188" s="328"/>
      <c r="K188" s="328"/>
      <c r="L188" s="340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  <c r="Y188" s="328"/>
      <c r="Z188" s="328"/>
    </row>
    <row r="189" ht="15.75" customHeight="1">
      <c r="A189" s="328"/>
      <c r="B189" s="339"/>
      <c r="C189" s="328"/>
      <c r="D189" s="339"/>
      <c r="E189" s="339"/>
      <c r="F189" s="340"/>
      <c r="G189" s="340"/>
      <c r="H189" s="328"/>
      <c r="I189" s="328"/>
      <c r="J189" s="328"/>
      <c r="K189" s="328"/>
      <c r="L189" s="340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  <c r="X189" s="328"/>
      <c r="Y189" s="328"/>
      <c r="Z189" s="328"/>
    </row>
    <row r="190" ht="15.75" customHeight="1">
      <c r="A190" s="328"/>
      <c r="B190" s="339"/>
      <c r="C190" s="328"/>
      <c r="D190" s="339"/>
      <c r="E190" s="339"/>
      <c r="F190" s="340"/>
      <c r="G190" s="340"/>
      <c r="H190" s="328"/>
      <c r="I190" s="328"/>
      <c r="J190" s="328"/>
      <c r="K190" s="328"/>
      <c r="L190" s="340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  <c r="Y190" s="328"/>
      <c r="Z190" s="328"/>
    </row>
    <row r="191" ht="15.75" customHeight="1">
      <c r="A191" s="328"/>
      <c r="B191" s="339"/>
      <c r="C191" s="328"/>
      <c r="D191" s="339"/>
      <c r="E191" s="339"/>
      <c r="F191" s="340"/>
      <c r="G191" s="340"/>
      <c r="H191" s="328"/>
      <c r="I191" s="328"/>
      <c r="J191" s="328"/>
      <c r="K191" s="328"/>
      <c r="L191" s="340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  <c r="X191" s="328"/>
      <c r="Y191" s="328"/>
      <c r="Z191" s="328"/>
    </row>
    <row r="192" ht="15.75" customHeight="1">
      <c r="A192" s="328"/>
      <c r="B192" s="339"/>
      <c r="C192" s="328"/>
      <c r="D192" s="339"/>
      <c r="E192" s="339"/>
      <c r="F192" s="340"/>
      <c r="G192" s="340"/>
      <c r="H192" s="328"/>
      <c r="I192" s="328"/>
      <c r="J192" s="328"/>
      <c r="K192" s="328"/>
      <c r="L192" s="340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  <c r="Y192" s="328"/>
      <c r="Z192" s="328"/>
    </row>
    <row r="193" ht="15.75" customHeight="1">
      <c r="A193" s="328"/>
      <c r="B193" s="339"/>
      <c r="C193" s="328"/>
      <c r="D193" s="339"/>
      <c r="E193" s="339"/>
      <c r="F193" s="340"/>
      <c r="G193" s="340"/>
      <c r="H193" s="328"/>
      <c r="I193" s="328"/>
      <c r="J193" s="328"/>
      <c r="K193" s="328"/>
      <c r="L193" s="340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  <c r="X193" s="328"/>
      <c r="Y193" s="328"/>
      <c r="Z193" s="328"/>
    </row>
    <row r="194" ht="15.75" customHeight="1">
      <c r="A194" s="328"/>
      <c r="B194" s="339"/>
      <c r="C194" s="328"/>
      <c r="D194" s="339"/>
      <c r="E194" s="339"/>
      <c r="F194" s="340"/>
      <c r="G194" s="340"/>
      <c r="H194" s="328"/>
      <c r="I194" s="328"/>
      <c r="J194" s="328"/>
      <c r="K194" s="328"/>
      <c r="L194" s="340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  <c r="Y194" s="328"/>
      <c r="Z194" s="328"/>
    </row>
    <row r="195" ht="15.75" customHeight="1">
      <c r="A195" s="328"/>
      <c r="B195" s="339"/>
      <c r="C195" s="328"/>
      <c r="D195" s="339"/>
      <c r="E195" s="339"/>
      <c r="F195" s="340"/>
      <c r="G195" s="340"/>
      <c r="H195" s="328"/>
      <c r="I195" s="328"/>
      <c r="J195" s="328"/>
      <c r="K195" s="328"/>
      <c r="L195" s="340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  <c r="Y195" s="328"/>
      <c r="Z195" s="328"/>
    </row>
    <row r="196" ht="15.75" customHeight="1">
      <c r="A196" s="328"/>
      <c r="B196" s="339"/>
      <c r="C196" s="328"/>
      <c r="D196" s="339"/>
      <c r="E196" s="339"/>
      <c r="F196" s="340"/>
      <c r="G196" s="340"/>
      <c r="H196" s="328"/>
      <c r="I196" s="328"/>
      <c r="J196" s="328"/>
      <c r="K196" s="328"/>
      <c r="L196" s="340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  <c r="Y196" s="328"/>
      <c r="Z196" s="328"/>
    </row>
    <row r="197" ht="15.75" customHeight="1">
      <c r="A197" s="328"/>
      <c r="B197" s="339"/>
      <c r="C197" s="328"/>
      <c r="D197" s="339"/>
      <c r="E197" s="339"/>
      <c r="F197" s="340"/>
      <c r="G197" s="340"/>
      <c r="H197" s="328"/>
      <c r="I197" s="328"/>
      <c r="J197" s="328"/>
      <c r="K197" s="328"/>
      <c r="L197" s="340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  <c r="X197" s="328"/>
      <c r="Y197" s="328"/>
      <c r="Z197" s="328"/>
    </row>
    <row r="198" ht="15.75" customHeight="1">
      <c r="A198" s="328"/>
      <c r="B198" s="339"/>
      <c r="C198" s="328"/>
      <c r="D198" s="339"/>
      <c r="E198" s="339"/>
      <c r="F198" s="340"/>
      <c r="G198" s="340"/>
      <c r="H198" s="328"/>
      <c r="I198" s="328"/>
      <c r="J198" s="328"/>
      <c r="K198" s="328"/>
      <c r="L198" s="340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  <c r="Z198" s="328"/>
    </row>
    <row r="199" ht="15.75" customHeight="1">
      <c r="A199" s="328"/>
      <c r="B199" s="339"/>
      <c r="C199" s="328"/>
      <c r="D199" s="339"/>
      <c r="E199" s="339"/>
      <c r="F199" s="340"/>
      <c r="G199" s="340"/>
      <c r="H199" s="328"/>
      <c r="I199" s="328"/>
      <c r="J199" s="328"/>
      <c r="K199" s="328"/>
      <c r="L199" s="340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  <c r="X199" s="328"/>
      <c r="Y199" s="328"/>
      <c r="Z199" s="328"/>
    </row>
    <row r="200" ht="15.75" customHeight="1">
      <c r="A200" s="328"/>
      <c r="B200" s="339"/>
      <c r="C200" s="328"/>
      <c r="D200" s="339"/>
      <c r="E200" s="339"/>
      <c r="F200" s="340"/>
      <c r="G200" s="340"/>
      <c r="H200" s="328"/>
      <c r="I200" s="328"/>
      <c r="J200" s="328"/>
      <c r="K200" s="328"/>
      <c r="L200" s="340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28"/>
      <c r="Z200" s="328"/>
    </row>
    <row r="201" ht="15.75" customHeight="1">
      <c r="A201" s="328"/>
      <c r="B201" s="339"/>
      <c r="C201" s="328"/>
      <c r="D201" s="339"/>
      <c r="E201" s="339"/>
      <c r="F201" s="340"/>
      <c r="G201" s="340"/>
      <c r="H201" s="328"/>
      <c r="I201" s="328"/>
      <c r="J201" s="328"/>
      <c r="K201" s="328"/>
      <c r="L201" s="340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28"/>
      <c r="Z201" s="328"/>
    </row>
    <row r="202" ht="15.75" customHeight="1">
      <c r="A202" s="328"/>
      <c r="B202" s="339"/>
      <c r="C202" s="328"/>
      <c r="D202" s="339"/>
      <c r="E202" s="339"/>
      <c r="F202" s="340"/>
      <c r="G202" s="340"/>
      <c r="H202" s="328"/>
      <c r="I202" s="328"/>
      <c r="J202" s="328"/>
      <c r="K202" s="328"/>
      <c r="L202" s="340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28"/>
      <c r="Z202" s="328"/>
    </row>
    <row r="203" ht="15.75" customHeight="1">
      <c r="A203" s="328"/>
      <c r="B203" s="339"/>
      <c r="C203" s="328"/>
      <c r="D203" s="339"/>
      <c r="E203" s="339"/>
      <c r="F203" s="340"/>
      <c r="G203" s="340"/>
      <c r="H203" s="328"/>
      <c r="I203" s="328"/>
      <c r="J203" s="328"/>
      <c r="K203" s="328"/>
      <c r="L203" s="340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  <c r="Y203" s="328"/>
      <c r="Z203" s="328"/>
    </row>
    <row r="204" ht="15.75" customHeight="1">
      <c r="A204" s="328"/>
      <c r="B204" s="339"/>
      <c r="C204" s="328"/>
      <c r="D204" s="339"/>
      <c r="E204" s="339"/>
      <c r="F204" s="340"/>
      <c r="G204" s="340"/>
      <c r="H204" s="328"/>
      <c r="I204" s="328"/>
      <c r="J204" s="328"/>
      <c r="K204" s="328"/>
      <c r="L204" s="340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28"/>
      <c r="Z204" s="328"/>
    </row>
    <row r="205" ht="15.75" customHeight="1">
      <c r="A205" s="328"/>
      <c r="B205" s="339"/>
      <c r="C205" s="328"/>
      <c r="D205" s="339"/>
      <c r="E205" s="339"/>
      <c r="F205" s="340"/>
      <c r="G205" s="340"/>
      <c r="H205" s="328"/>
      <c r="I205" s="328"/>
      <c r="J205" s="328"/>
      <c r="K205" s="328"/>
      <c r="L205" s="340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  <c r="Z205" s="328"/>
    </row>
    <row r="206" ht="15.75" customHeight="1">
      <c r="A206" s="328"/>
      <c r="B206" s="339"/>
      <c r="C206" s="328"/>
      <c r="D206" s="339"/>
      <c r="E206" s="339"/>
      <c r="F206" s="340"/>
      <c r="G206" s="340"/>
      <c r="H206" s="328"/>
      <c r="I206" s="328"/>
      <c r="J206" s="328"/>
      <c r="K206" s="328"/>
      <c r="L206" s="340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  <c r="Y206" s="328"/>
      <c r="Z206" s="328"/>
    </row>
    <row r="207" ht="15.75" customHeight="1">
      <c r="A207" s="328"/>
      <c r="B207" s="339"/>
      <c r="C207" s="328"/>
      <c r="D207" s="339"/>
      <c r="E207" s="339"/>
      <c r="F207" s="340"/>
      <c r="G207" s="340"/>
      <c r="H207" s="328"/>
      <c r="I207" s="328"/>
      <c r="J207" s="328"/>
      <c r="K207" s="328"/>
      <c r="L207" s="340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</row>
    <row r="208" ht="15.75" customHeight="1">
      <c r="A208" s="328"/>
      <c r="B208" s="339"/>
      <c r="C208" s="328"/>
      <c r="D208" s="339"/>
      <c r="E208" s="339"/>
      <c r="F208" s="340"/>
      <c r="G208" s="340"/>
      <c r="H208" s="328"/>
      <c r="I208" s="328"/>
      <c r="J208" s="328"/>
      <c r="K208" s="328"/>
      <c r="L208" s="340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</row>
    <row r="209" ht="15.75" customHeight="1">
      <c r="A209" s="328"/>
      <c r="B209" s="339"/>
      <c r="C209" s="328"/>
      <c r="D209" s="339"/>
      <c r="E209" s="339"/>
      <c r="F209" s="340"/>
      <c r="G209" s="340"/>
      <c r="H209" s="328"/>
      <c r="I209" s="328"/>
      <c r="J209" s="328"/>
      <c r="K209" s="328"/>
      <c r="L209" s="340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  <c r="Z209" s="328"/>
    </row>
    <row r="210" ht="15.75" customHeight="1">
      <c r="A210" s="328"/>
      <c r="B210" s="339"/>
      <c r="C210" s="328"/>
      <c r="D210" s="339"/>
      <c r="E210" s="339"/>
      <c r="F210" s="340"/>
      <c r="G210" s="340"/>
      <c r="H210" s="328"/>
      <c r="I210" s="328"/>
      <c r="J210" s="328"/>
      <c r="K210" s="328"/>
      <c r="L210" s="340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  <c r="Y210" s="328"/>
      <c r="Z210" s="328"/>
    </row>
    <row r="211" ht="15.75" customHeight="1">
      <c r="A211" s="328"/>
      <c r="B211" s="339"/>
      <c r="C211" s="328"/>
      <c r="D211" s="339"/>
      <c r="E211" s="339"/>
      <c r="F211" s="340"/>
      <c r="G211" s="340"/>
      <c r="H211" s="328"/>
      <c r="I211" s="328"/>
      <c r="J211" s="328"/>
      <c r="K211" s="328"/>
      <c r="L211" s="340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  <c r="Z211" s="328"/>
    </row>
    <row r="212" ht="15.75" customHeight="1">
      <c r="A212" s="328"/>
      <c r="B212" s="339"/>
      <c r="C212" s="328"/>
      <c r="D212" s="339"/>
      <c r="E212" s="339"/>
      <c r="F212" s="340"/>
      <c r="G212" s="340"/>
      <c r="H212" s="328"/>
      <c r="I212" s="328"/>
      <c r="J212" s="328"/>
      <c r="K212" s="328"/>
      <c r="L212" s="340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  <c r="Y212" s="328"/>
      <c r="Z212" s="328"/>
    </row>
    <row r="213" ht="15.75" customHeight="1">
      <c r="A213" s="328"/>
      <c r="B213" s="339"/>
      <c r="C213" s="328"/>
      <c r="D213" s="339"/>
      <c r="E213" s="339"/>
      <c r="F213" s="340"/>
      <c r="G213" s="340"/>
      <c r="H213" s="328"/>
      <c r="I213" s="328"/>
      <c r="J213" s="328"/>
      <c r="K213" s="328"/>
      <c r="L213" s="340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  <c r="Y213" s="328"/>
      <c r="Z213" s="328"/>
    </row>
    <row r="214" ht="15.75" customHeight="1">
      <c r="A214" s="328"/>
      <c r="B214" s="339"/>
      <c r="C214" s="328"/>
      <c r="D214" s="339"/>
      <c r="E214" s="339"/>
      <c r="F214" s="340"/>
      <c r="G214" s="340"/>
      <c r="H214" s="328"/>
      <c r="I214" s="328"/>
      <c r="J214" s="328"/>
      <c r="K214" s="328"/>
      <c r="L214" s="340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  <c r="Y214" s="328"/>
      <c r="Z214" s="328"/>
    </row>
    <row r="215" ht="15.75" customHeight="1">
      <c r="A215" s="328"/>
      <c r="B215" s="339"/>
      <c r="C215" s="328"/>
      <c r="D215" s="339"/>
      <c r="E215" s="339"/>
      <c r="F215" s="340"/>
      <c r="G215" s="340"/>
      <c r="H215" s="328"/>
      <c r="I215" s="328"/>
      <c r="J215" s="328"/>
      <c r="K215" s="328"/>
      <c r="L215" s="340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  <c r="Y215" s="328"/>
      <c r="Z215" s="328"/>
    </row>
    <row r="216" ht="15.75" customHeight="1">
      <c r="A216" s="328"/>
      <c r="B216" s="339"/>
      <c r="C216" s="328"/>
      <c r="D216" s="339"/>
      <c r="E216" s="339"/>
      <c r="F216" s="340"/>
      <c r="G216" s="340"/>
      <c r="H216" s="328"/>
      <c r="I216" s="328"/>
      <c r="J216" s="328"/>
      <c r="K216" s="328"/>
      <c r="L216" s="340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  <c r="Y216" s="328"/>
      <c r="Z216" s="328"/>
    </row>
    <row r="217" ht="15.75" customHeight="1">
      <c r="A217" s="328"/>
      <c r="B217" s="339"/>
      <c r="C217" s="328"/>
      <c r="D217" s="339"/>
      <c r="E217" s="339"/>
      <c r="F217" s="340"/>
      <c r="G217" s="340"/>
      <c r="H217" s="328"/>
      <c r="I217" s="328"/>
      <c r="J217" s="328"/>
      <c r="K217" s="328"/>
      <c r="L217" s="340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28"/>
      <c r="Z217" s="328"/>
    </row>
    <row r="218" ht="15.75" customHeight="1">
      <c r="A218" s="328"/>
      <c r="B218" s="339"/>
      <c r="C218" s="328"/>
      <c r="D218" s="339"/>
      <c r="E218" s="339"/>
      <c r="F218" s="340"/>
      <c r="G218" s="340"/>
      <c r="H218" s="328"/>
      <c r="I218" s="328"/>
      <c r="J218" s="328"/>
      <c r="K218" s="328"/>
      <c r="L218" s="340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  <c r="Z218" s="328"/>
    </row>
    <row r="219" ht="15.75" customHeight="1">
      <c r="A219" s="328"/>
      <c r="B219" s="339"/>
      <c r="C219" s="328"/>
      <c r="D219" s="339"/>
      <c r="E219" s="339"/>
      <c r="F219" s="340"/>
      <c r="G219" s="340"/>
      <c r="H219" s="328"/>
      <c r="I219" s="328"/>
      <c r="J219" s="328"/>
      <c r="K219" s="328"/>
      <c r="L219" s="340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</row>
    <row r="220" ht="15.75" customHeight="1">
      <c r="A220" s="328"/>
      <c r="B220" s="339"/>
      <c r="C220" s="328"/>
      <c r="D220" s="339"/>
      <c r="E220" s="339"/>
      <c r="F220" s="340"/>
      <c r="G220" s="340"/>
      <c r="H220" s="328"/>
      <c r="I220" s="328"/>
      <c r="J220" s="328"/>
      <c r="K220" s="328"/>
      <c r="L220" s="340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</row>
    <row r="221" ht="15.75" customHeight="1">
      <c r="A221" s="328"/>
      <c r="B221" s="339"/>
      <c r="C221" s="328"/>
      <c r="D221" s="339"/>
      <c r="E221" s="339"/>
      <c r="F221" s="340"/>
      <c r="G221" s="340"/>
      <c r="H221" s="328"/>
      <c r="I221" s="328"/>
      <c r="J221" s="328"/>
      <c r="K221" s="328"/>
      <c r="L221" s="340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  <c r="Z221" s="328"/>
    </row>
    <row r="222" ht="15.75" customHeight="1">
      <c r="A222" s="328"/>
      <c r="B222" s="339"/>
      <c r="C222" s="328"/>
      <c r="D222" s="339"/>
      <c r="E222" s="339"/>
      <c r="F222" s="340"/>
      <c r="G222" s="340"/>
      <c r="H222" s="328"/>
      <c r="I222" s="328"/>
      <c r="J222" s="328"/>
      <c r="K222" s="328"/>
      <c r="L222" s="340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</row>
    <row r="223" ht="15.75" customHeight="1">
      <c r="A223" s="328"/>
      <c r="B223" s="339"/>
      <c r="C223" s="328"/>
      <c r="D223" s="339"/>
      <c r="E223" s="339"/>
      <c r="F223" s="340"/>
      <c r="G223" s="340"/>
      <c r="H223" s="328"/>
      <c r="I223" s="328"/>
      <c r="J223" s="328"/>
      <c r="K223" s="328"/>
      <c r="L223" s="340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  <c r="Z223" s="328"/>
    </row>
    <row r="224" ht="15.75" customHeight="1">
      <c r="A224" s="328"/>
      <c r="B224" s="339"/>
      <c r="C224" s="328"/>
      <c r="D224" s="339"/>
      <c r="E224" s="339"/>
      <c r="F224" s="340"/>
      <c r="G224" s="340"/>
      <c r="H224" s="328"/>
      <c r="I224" s="328"/>
      <c r="J224" s="328"/>
      <c r="K224" s="328"/>
      <c r="L224" s="340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  <c r="Y224" s="328"/>
      <c r="Z224" s="328"/>
    </row>
    <row r="225" ht="15.75" customHeight="1">
      <c r="A225" s="328"/>
      <c r="B225" s="339"/>
      <c r="C225" s="328"/>
      <c r="D225" s="339"/>
      <c r="E225" s="339"/>
      <c r="F225" s="340"/>
      <c r="G225" s="340"/>
      <c r="H225" s="328"/>
      <c r="I225" s="328"/>
      <c r="J225" s="328"/>
      <c r="K225" s="328"/>
      <c r="L225" s="340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  <c r="Y225" s="328"/>
      <c r="Z225" s="328"/>
    </row>
    <row r="226" ht="15.75" customHeight="1">
      <c r="A226" s="328"/>
      <c r="B226" s="339"/>
      <c r="C226" s="328"/>
      <c r="D226" s="339"/>
      <c r="E226" s="339"/>
      <c r="F226" s="340"/>
      <c r="G226" s="340"/>
      <c r="H226" s="328"/>
      <c r="I226" s="328"/>
      <c r="J226" s="328"/>
      <c r="K226" s="328"/>
      <c r="L226" s="340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8"/>
      <c r="Z226" s="328"/>
    </row>
    <row r="227" ht="15.75" customHeight="1">
      <c r="A227" s="328"/>
      <c r="B227" s="339"/>
      <c r="C227" s="328"/>
      <c r="D227" s="339"/>
      <c r="E227" s="339"/>
      <c r="F227" s="340"/>
      <c r="G227" s="340"/>
      <c r="H227" s="328"/>
      <c r="I227" s="328"/>
      <c r="J227" s="328"/>
      <c r="K227" s="328"/>
      <c r="L227" s="340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28"/>
      <c r="Z227" s="328"/>
    </row>
    <row r="228" ht="15.75" customHeight="1">
      <c r="A228" s="328"/>
      <c r="B228" s="339"/>
      <c r="C228" s="328"/>
      <c r="D228" s="339"/>
      <c r="E228" s="339"/>
      <c r="F228" s="340"/>
      <c r="G228" s="340"/>
      <c r="H228" s="328"/>
      <c r="I228" s="328"/>
      <c r="J228" s="328"/>
      <c r="K228" s="328"/>
      <c r="L228" s="340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28"/>
      <c r="Z228" s="328"/>
    </row>
    <row r="229" ht="15.75" customHeight="1">
      <c r="A229" s="328"/>
      <c r="B229" s="339"/>
      <c r="C229" s="328"/>
      <c r="D229" s="339"/>
      <c r="E229" s="339"/>
      <c r="F229" s="340"/>
      <c r="G229" s="340"/>
      <c r="H229" s="328"/>
      <c r="I229" s="328"/>
      <c r="J229" s="328"/>
      <c r="K229" s="328"/>
      <c r="L229" s="340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  <c r="Y229" s="328"/>
      <c r="Z229" s="328"/>
    </row>
    <row r="230" ht="15.75" customHeight="1">
      <c r="A230" s="328"/>
      <c r="B230" s="339"/>
      <c r="C230" s="328"/>
      <c r="D230" s="339"/>
      <c r="E230" s="339"/>
      <c r="F230" s="340"/>
      <c r="G230" s="340"/>
      <c r="H230" s="328"/>
      <c r="I230" s="328"/>
      <c r="J230" s="328"/>
      <c r="K230" s="328"/>
      <c r="L230" s="340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</row>
    <row r="231" ht="15.75" customHeight="1">
      <c r="A231" s="328"/>
      <c r="B231" s="339"/>
      <c r="C231" s="328"/>
      <c r="D231" s="339"/>
      <c r="E231" s="339"/>
      <c r="F231" s="340"/>
      <c r="G231" s="340"/>
      <c r="H231" s="328"/>
      <c r="I231" s="328"/>
      <c r="J231" s="328"/>
      <c r="K231" s="328"/>
      <c r="L231" s="340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  <c r="Y231" s="328"/>
      <c r="Z231" s="328"/>
    </row>
    <row r="232" ht="15.75" customHeight="1">
      <c r="A232" s="328"/>
      <c r="B232" s="339"/>
      <c r="C232" s="328"/>
      <c r="D232" s="339"/>
      <c r="E232" s="339"/>
      <c r="F232" s="340"/>
      <c r="G232" s="340"/>
      <c r="H232" s="328"/>
      <c r="I232" s="328"/>
      <c r="J232" s="328"/>
      <c r="K232" s="328"/>
      <c r="L232" s="340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  <c r="Y232" s="328"/>
      <c r="Z232" s="328"/>
    </row>
    <row r="233" ht="15.75" customHeight="1">
      <c r="A233" s="328"/>
      <c r="B233" s="339"/>
      <c r="C233" s="328"/>
      <c r="D233" s="339"/>
      <c r="E233" s="339"/>
      <c r="F233" s="340"/>
      <c r="G233" s="340"/>
      <c r="H233" s="328"/>
      <c r="I233" s="328"/>
      <c r="J233" s="328"/>
      <c r="K233" s="328"/>
      <c r="L233" s="340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  <c r="Z233" s="328"/>
    </row>
    <row r="234" ht="15.75" customHeight="1">
      <c r="A234" s="328"/>
      <c r="B234" s="339"/>
      <c r="C234" s="328"/>
      <c r="D234" s="339"/>
      <c r="E234" s="339"/>
      <c r="F234" s="340"/>
      <c r="G234" s="340"/>
      <c r="H234" s="328"/>
      <c r="I234" s="328"/>
      <c r="J234" s="328"/>
      <c r="K234" s="328"/>
      <c r="L234" s="340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  <c r="Y234" s="328"/>
      <c r="Z234" s="328"/>
    </row>
    <row r="235" ht="15.75" customHeight="1">
      <c r="A235" s="328"/>
      <c r="B235" s="339"/>
      <c r="C235" s="328"/>
      <c r="D235" s="339"/>
      <c r="E235" s="339"/>
      <c r="F235" s="340"/>
      <c r="G235" s="340"/>
      <c r="H235" s="328"/>
      <c r="I235" s="328"/>
      <c r="J235" s="328"/>
      <c r="K235" s="328"/>
      <c r="L235" s="340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  <c r="Y235" s="328"/>
      <c r="Z235" s="328"/>
    </row>
    <row r="236" ht="15.75" customHeight="1">
      <c r="A236" s="328"/>
      <c r="B236" s="339"/>
      <c r="C236" s="328"/>
      <c r="D236" s="339"/>
      <c r="E236" s="339"/>
      <c r="F236" s="340"/>
      <c r="G236" s="340"/>
      <c r="H236" s="328"/>
      <c r="I236" s="328"/>
      <c r="J236" s="328"/>
      <c r="K236" s="328"/>
      <c r="L236" s="340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</row>
    <row r="237" ht="15.75" customHeight="1">
      <c r="A237" s="328"/>
      <c r="B237" s="339"/>
      <c r="C237" s="328"/>
      <c r="D237" s="339"/>
      <c r="E237" s="339"/>
      <c r="F237" s="340"/>
      <c r="G237" s="340"/>
      <c r="H237" s="328"/>
      <c r="I237" s="328"/>
      <c r="J237" s="328"/>
      <c r="K237" s="328"/>
      <c r="L237" s="340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  <c r="Y237" s="328"/>
      <c r="Z237" s="328"/>
    </row>
    <row r="238" ht="15.75" customHeight="1">
      <c r="A238" s="328"/>
      <c r="B238" s="339"/>
      <c r="C238" s="328"/>
      <c r="D238" s="339"/>
      <c r="E238" s="339"/>
      <c r="F238" s="340"/>
      <c r="G238" s="340"/>
      <c r="H238" s="328"/>
      <c r="I238" s="328"/>
      <c r="J238" s="328"/>
      <c r="K238" s="328"/>
      <c r="L238" s="340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  <c r="Y238" s="328"/>
      <c r="Z238" s="328"/>
    </row>
    <row r="239" ht="15.75" customHeight="1">
      <c r="A239" s="328"/>
      <c r="B239" s="339"/>
      <c r="C239" s="328"/>
      <c r="D239" s="339"/>
      <c r="E239" s="339"/>
      <c r="F239" s="340"/>
      <c r="G239" s="340"/>
      <c r="H239" s="328"/>
      <c r="I239" s="328"/>
      <c r="J239" s="328"/>
      <c r="K239" s="328"/>
      <c r="L239" s="340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  <c r="Z239" s="328"/>
    </row>
    <row r="240" ht="15.75" customHeight="1">
      <c r="A240" s="328"/>
      <c r="B240" s="339"/>
      <c r="C240" s="328"/>
      <c r="D240" s="339"/>
      <c r="E240" s="339"/>
      <c r="F240" s="340"/>
      <c r="G240" s="340"/>
      <c r="H240" s="328"/>
      <c r="I240" s="328"/>
      <c r="J240" s="328"/>
      <c r="K240" s="328"/>
      <c r="L240" s="340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  <c r="Y240" s="328"/>
      <c r="Z240" s="328"/>
    </row>
    <row r="241" ht="15.75" customHeight="1">
      <c r="A241" s="328"/>
      <c r="B241" s="339"/>
      <c r="C241" s="328"/>
      <c r="D241" s="339"/>
      <c r="E241" s="339"/>
      <c r="F241" s="340"/>
      <c r="G241" s="340"/>
      <c r="H241" s="328"/>
      <c r="I241" s="328"/>
      <c r="J241" s="328"/>
      <c r="K241" s="328"/>
      <c r="L241" s="340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  <c r="Y241" s="328"/>
      <c r="Z241" s="328"/>
    </row>
    <row r="242" ht="15.75" customHeight="1">
      <c r="A242" s="328"/>
      <c r="B242" s="339"/>
      <c r="C242" s="328"/>
      <c r="D242" s="339"/>
      <c r="E242" s="339"/>
      <c r="F242" s="340"/>
      <c r="G242" s="340"/>
      <c r="H242" s="328"/>
      <c r="I242" s="328"/>
      <c r="J242" s="328"/>
      <c r="K242" s="328"/>
      <c r="L242" s="340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  <c r="Y242" s="328"/>
      <c r="Z242" s="328"/>
    </row>
    <row r="243" ht="15.75" customHeight="1">
      <c r="A243" s="328"/>
      <c r="B243" s="339"/>
      <c r="C243" s="328"/>
      <c r="D243" s="339"/>
      <c r="E243" s="339"/>
      <c r="F243" s="340"/>
      <c r="G243" s="340"/>
      <c r="H243" s="328"/>
      <c r="I243" s="328"/>
      <c r="J243" s="328"/>
      <c r="K243" s="328"/>
      <c r="L243" s="340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28"/>
      <c r="Z243" s="328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howErrorMessage="1" sqref="H4:H43">
      <formula1>"진행중,부분진행중,추후논의,완료,보류,취소"</formula1>
    </dataValidation>
  </dataValidations>
  <printOptions/>
  <pageMargins bottom="0.75" footer="0.0" header="0.0" left="0.7" right="0.7" top="0.75"/>
  <pageSetup paperSize="9" orientation="portrait"/>
  <drawing r:id="rId1"/>
</worksheet>
</file>